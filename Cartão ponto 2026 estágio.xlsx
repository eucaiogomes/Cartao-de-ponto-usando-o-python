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tor Adm\OneDrive\Área de Trabalho\Lector Tec\RH\"/>
    </mc:Choice>
  </mc:AlternateContent>
  <xr:revisionPtr revIDLastSave="0" documentId="13_ncr:1_{5A6B5A49-89F5-48FC-B4ED-13E6784E0925}" xr6:coauthVersionLast="47" xr6:coauthVersionMax="47" xr10:uidLastSave="{00000000-0000-0000-0000-000000000000}"/>
  <bookViews>
    <workbookView xWindow="-120" yWindow="-120" windowWidth="20730" windowHeight="11160" firstSheet="4" activeTab="11" xr2:uid="{667EC420-15ED-4298-AFBD-0D79777ECBF1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2" l="1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8" i="12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8" i="11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8" i="10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8" i="9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8" i="8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8" i="7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8" i="6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8" i="5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8" i="4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8" i="3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8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8" i="1"/>
  <c r="G36" i="2" l="1"/>
  <c r="G39" i="12"/>
  <c r="G39" i="11"/>
  <c r="G39" i="10"/>
  <c r="G39" i="9"/>
  <c r="G39" i="8"/>
  <c r="G39" i="7"/>
  <c r="G39" i="6"/>
  <c r="G39" i="5"/>
  <c r="G39" i="4"/>
  <c r="G39" i="3"/>
  <c r="G39" i="1"/>
</calcChain>
</file>

<file path=xl/sharedStrings.xml><?xml version="1.0" encoding="utf-8"?>
<sst xmlns="http://schemas.openxmlformats.org/spreadsheetml/2006/main" count="653" uniqueCount="41">
  <si>
    <t>Rua Dez de Janeiro, 109,  Itoupava Norte - Blumenau/SC</t>
  </si>
  <si>
    <t>Cartão de Ponto</t>
  </si>
  <si>
    <t>Cargo</t>
  </si>
  <si>
    <t>Dia</t>
  </si>
  <si>
    <t>Manhã</t>
  </si>
  <si>
    <t>Tarde</t>
  </si>
  <si>
    <t xml:space="preserve">Total </t>
  </si>
  <si>
    <t>Assinatura</t>
  </si>
  <si>
    <t>Autorização</t>
  </si>
  <si>
    <t>Entrada</t>
  </si>
  <si>
    <t>Saída</t>
  </si>
  <si>
    <t>Hs (+/-)</t>
  </si>
  <si>
    <t>Justificativa</t>
  </si>
  <si>
    <t>Colaborador</t>
  </si>
  <si>
    <t>Alex</t>
  </si>
  <si>
    <t>DOM</t>
  </si>
  <si>
    <t>SEG</t>
  </si>
  <si>
    <t>TER</t>
  </si>
  <si>
    <t>QUA</t>
  </si>
  <si>
    <t>QUI</t>
  </si>
  <si>
    <t>SEX</t>
  </si>
  <si>
    <t>SÁB</t>
  </si>
  <si>
    <t xml:space="preserve">Mês: </t>
  </si>
  <si>
    <t>Funcionário:</t>
  </si>
  <si>
    <t>JANEIRO</t>
  </si>
  <si>
    <t>TOTAL</t>
  </si>
  <si>
    <t>LECTOR TECNOLOGIA SA.</t>
  </si>
  <si>
    <t>FEVEREIRO</t>
  </si>
  <si>
    <t>MARÇO</t>
  </si>
  <si>
    <t>FERIADO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</si>
  <si>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</si>
  <si>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</si>
  <si>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</si>
  <si>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</si>
  <si>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</si>
  <si>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</si>
  <si>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</si>
  <si>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</si>
  <si>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</si>
  <si>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Ano: 2026</t>
  </si>
  <si>
    <t>FERIADO BLUMENAU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</si>
</sst>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rgb="FF000000"/>
      <name val="Constantia"/>
      <family val="1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b/>
      <sz val="12"/>
      <color rgb="FF202124"/>
      <name val="Arial"/>
      <family val="2"/>
    </font>
    <font>
      <b/>
      <sz val="12"/>
      <color rgb="FF000000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4" fillId="2" borderId="0" xfId="0" applyFont="1" applyFill="1"/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21" fontId="1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/>
    <xf numFmtId="165" fontId="1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/>
    <xf numFmtId="0" fontId="4" fillId="0" borderId="0" xfId="0" applyFont="1"/>
    <xf numFmtId="164" fontId="1" fillId="3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21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5" fontId="1" fillId="0" borderId="1" xfId="0" applyNumberFormat="1" applyFont="1" applyFill="1" applyBorder="1" applyAlignment="1">
      <alignment vertical="center"/>
    </xf>
    <xf numFmtId="21" fontId="1" fillId="0" borderId="1" xfId="0" applyNumberFormat="1" applyFont="1" applyFill="1" applyBorder="1" applyAlignment="1">
      <alignment horizontal="left" vertical="center"/>
    </xf>
    <xf numFmtId="21" fontId="1" fillId="0" borderId="1" xfId="0" applyNumberFormat="1" applyFont="1" applyFill="1" applyBorder="1" applyAlignment="1">
      <alignment vertical="center"/>
    </xf>
    <xf numFmtId="0" fontId="5" fillId="0" borderId="1" xfId="0" applyFont="1" applyFill="1" applyBorder="1"/>
    <xf numFmtId="0" fontId="6" fillId="0" borderId="0" xfId="0" applyFont="1" applyFill="1" applyAlignment="1">
      <alignment horizontal="center"/>
    </xf>
    <xf numFmtId="165" fontId="4" fillId="0" borderId="1" xfId="0" applyNumberFormat="1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right"/>
    </xf>
    <xf numFmtId="46" fontId="4" fillId="0" borderId="0" xfId="0" applyNumberFormat="1" applyFont="1" applyFill="1"/>
    <xf numFmtId="0" fontId="4" fillId="0" borderId="0" xfId="0" applyFont="1" applyFill="1"/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21" fontId="1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6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4" fillId="4" borderId="1" xfId="0" applyFont="1" applyFill="1" applyBorder="1"/>
    <xf numFmtId="165" fontId="4" fillId="4" borderId="1" xfId="0" applyNumberFormat="1" applyFont="1" applyFill="1" applyBorder="1"/>
    <xf numFmtId="165" fontId="1" fillId="4" borderId="1" xfId="0" applyNumberFormat="1" applyFont="1" applyFill="1" applyBorder="1" applyAlignment="1">
      <alignment vertical="center"/>
    </xf>
    <xf numFmtId="21" fontId="1" fillId="4" borderId="1" xfId="0" applyNumberFormat="1" applyFont="1" applyFill="1" applyBorder="1" applyAlignment="1">
      <alignment horizontal="left" vertical="center"/>
    </xf>
    <xf numFmtId="21" fontId="1" fillId="4" borderId="1" xfId="0" applyNumberFormat="1" applyFont="1" applyFill="1" applyBorder="1" applyAlignment="1">
      <alignment vertical="center"/>
    </xf>
    <xf numFmtId="0" fontId="5" fillId="4" borderId="1" xfId="0" applyFont="1" applyFill="1" applyBorder="1"/>
    <xf numFmtId="0" fontId="1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477AAD-C52F-9B15-C9A0-D6D92CF02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367012-559E-4468-9D09-1FA51BCA4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0C3737-8AEE-4278-999B-41E1A17F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40ABC0-5A63-4637-83C9-F7D3A51D6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65E2BD-E909-483B-BB6A-CB594F94C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4DDFC5-EDA5-4A0C-A6CA-94A2A828C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894501-2B96-4A56-AABB-B8B5F6A9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3C4A60-B49F-475F-A86C-B8BBE650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1EB9A6-2701-4CEE-995A-A6314FEA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35E142-8193-4F60-BEC3-6F8FCC7C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630635-B108-4CBC-BF01-255D40BE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95250</xdr:rowOff>
    </xdr:from>
    <xdr:to>
      <xdr:col>9</xdr:col>
      <xdr:colOff>781050</xdr:colOff>
      <xdr:row>3</xdr:row>
      <xdr:rowOff>119913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9A7010-4CF8-4425-AFE1-1A1C83765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95250"/>
          <a:ext cx="1685925" cy="596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9FB5-3B73-4F83-A675-A38DC4A8C34F}">
  <dimension ref="A1:J999"/>
  <sheetViews>
    <sheetView workbookViewId="0">
      <selection activeCell="G13" sqref="G13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24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46023</v>
      </c>
      <c r="B8" s="30" t="s">
        <v>19</v>
      </c>
      <c r="C8" s="31"/>
      <c r="D8" s="31"/>
      <c r="E8" s="31"/>
      <c r="F8" s="31"/>
      <c r="G8" s="32">
        <f>SUM((F8-E8)+(D8-C8))-"6:00"</f>
        <v>-0.25</v>
      </c>
      <c r="H8" s="32" t="s">
        <v>29</v>
      </c>
      <c r="I8" s="32"/>
      <c r="J8" s="32"/>
    </row>
    <row r="9" spans="1:10" s="33" customFormat="1" x14ac:dyDescent="0.25">
      <c r="A9" s="29">
        <v>46024</v>
      </c>
      <c r="B9" s="30" t="s">
        <v>20</v>
      </c>
      <c r="C9" s="31"/>
      <c r="D9" s="34"/>
      <c r="E9" s="31"/>
      <c r="F9" s="31"/>
      <c r="G9" s="32">
        <f t="shared" ref="G9:G38" si="0">SUM((F9-E9)+(D9-C9))-"6:00"</f>
        <v>-0.25</v>
      </c>
      <c r="H9" s="35"/>
      <c r="I9" s="36"/>
      <c r="J9" s="36"/>
    </row>
    <row r="10" spans="1:10" s="49" customFormat="1" x14ac:dyDescent="0.25">
      <c r="A10" s="45">
        <v>46025</v>
      </c>
      <c r="B10" s="46" t="s">
        <v>21</v>
      </c>
      <c r="C10" s="47"/>
      <c r="D10" s="47"/>
      <c r="E10" s="47"/>
      <c r="F10" s="47"/>
      <c r="G10" s="32">
        <f t="shared" si="0"/>
        <v>-0.25</v>
      </c>
      <c r="H10" s="48"/>
      <c r="I10" s="48"/>
      <c r="J10" s="48"/>
    </row>
    <row r="11" spans="1:10" s="49" customFormat="1" x14ac:dyDescent="0.25">
      <c r="A11" s="45">
        <v>46026</v>
      </c>
      <c r="B11" s="46" t="s">
        <v>15</v>
      </c>
      <c r="C11" s="47"/>
      <c r="D11" s="47"/>
      <c r="E11" s="47"/>
      <c r="F11" s="47"/>
      <c r="G11" s="32">
        <f t="shared" si="0"/>
        <v>-0.25</v>
      </c>
      <c r="H11" s="48"/>
      <c r="I11" s="48"/>
      <c r="J11" s="48"/>
    </row>
    <row r="12" spans="1:10" s="33" customFormat="1" x14ac:dyDescent="0.25">
      <c r="A12" s="29">
        <v>46027</v>
      </c>
      <c r="B12" s="30" t="s">
        <v>16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46028</v>
      </c>
      <c r="B13" s="30" t="s">
        <v>17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33" customFormat="1" x14ac:dyDescent="0.25">
      <c r="A14" s="29">
        <v>46029</v>
      </c>
      <c r="B14" s="30" t="s">
        <v>18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33" customFormat="1" x14ac:dyDescent="0.25">
      <c r="A15" s="29">
        <v>46030</v>
      </c>
      <c r="B15" s="30" t="s">
        <v>19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46031</v>
      </c>
      <c r="B16" s="30" t="s">
        <v>20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49" customFormat="1" x14ac:dyDescent="0.25">
      <c r="A17" s="45">
        <v>46032</v>
      </c>
      <c r="B17" s="46" t="s">
        <v>21</v>
      </c>
      <c r="C17" s="47"/>
      <c r="D17" s="47"/>
      <c r="E17" s="47"/>
      <c r="F17" s="47"/>
      <c r="G17" s="32">
        <f t="shared" si="0"/>
        <v>-0.25</v>
      </c>
      <c r="H17" s="48"/>
      <c r="I17" s="48"/>
      <c r="J17" s="48"/>
    </row>
    <row r="18" spans="1:10" s="49" customFormat="1" ht="15.75" x14ac:dyDescent="0.25">
      <c r="A18" s="45">
        <v>46033</v>
      </c>
      <c r="B18" s="46" t="s">
        <v>15</v>
      </c>
      <c r="C18" s="47"/>
      <c r="D18" s="47"/>
      <c r="E18" s="47"/>
      <c r="F18" s="47"/>
      <c r="G18" s="32">
        <f t="shared" si="0"/>
        <v>-0.25</v>
      </c>
      <c r="H18" s="50"/>
      <c r="I18" s="48"/>
      <c r="J18" s="48"/>
    </row>
    <row r="19" spans="1:10" s="33" customFormat="1" x14ac:dyDescent="0.25">
      <c r="A19" s="29">
        <v>46034</v>
      </c>
      <c r="B19" s="30" t="s">
        <v>16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33" customFormat="1" x14ac:dyDescent="0.25">
      <c r="A20" s="29">
        <v>46035</v>
      </c>
      <c r="B20" s="30" t="s">
        <v>17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33" customFormat="1" x14ac:dyDescent="0.25">
      <c r="A21" s="29">
        <v>46036</v>
      </c>
      <c r="B21" s="30" t="s">
        <v>18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46037</v>
      </c>
      <c r="B22" s="30" t="s">
        <v>19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46038</v>
      </c>
      <c r="B23" s="30" t="s">
        <v>20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49" customFormat="1" x14ac:dyDescent="0.25">
      <c r="A24" s="45">
        <v>46039</v>
      </c>
      <c r="B24" s="46" t="s">
        <v>21</v>
      </c>
      <c r="C24" s="47"/>
      <c r="D24" s="47"/>
      <c r="E24" s="47"/>
      <c r="F24" s="47"/>
      <c r="G24" s="32">
        <f t="shared" si="0"/>
        <v>-0.25</v>
      </c>
      <c r="H24" s="48"/>
      <c r="I24" s="48"/>
      <c r="J24" s="48"/>
    </row>
    <row r="25" spans="1:10" s="49" customFormat="1" x14ac:dyDescent="0.25">
      <c r="A25" s="45">
        <v>46040</v>
      </c>
      <c r="B25" s="46" t="s">
        <v>15</v>
      </c>
      <c r="C25" s="47"/>
      <c r="D25" s="47"/>
      <c r="E25" s="47"/>
      <c r="F25" s="47"/>
      <c r="G25" s="32">
        <f t="shared" si="0"/>
        <v>-0.25</v>
      </c>
      <c r="H25" s="48"/>
      <c r="I25" s="48"/>
      <c r="J25" s="48"/>
    </row>
    <row r="26" spans="1:10" s="33" customFormat="1" x14ac:dyDescent="0.25">
      <c r="A26" s="29">
        <v>46041</v>
      </c>
      <c r="B26" s="30" t="s">
        <v>16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33" customFormat="1" x14ac:dyDescent="0.25">
      <c r="A27" s="29">
        <v>46042</v>
      </c>
      <c r="B27" s="30" t="s">
        <v>17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33" customFormat="1" x14ac:dyDescent="0.25">
      <c r="A28" s="29">
        <v>46043</v>
      </c>
      <c r="B28" s="30" t="s">
        <v>18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33" customFormat="1" x14ac:dyDescent="0.25">
      <c r="A29" s="29">
        <v>46044</v>
      </c>
      <c r="B29" s="30" t="s">
        <v>19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46045</v>
      </c>
      <c r="B30" s="30" t="s">
        <v>20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49" customFormat="1" ht="15.75" x14ac:dyDescent="0.25">
      <c r="A31" s="45">
        <v>46046</v>
      </c>
      <c r="B31" s="46" t="s">
        <v>21</v>
      </c>
      <c r="C31" s="47"/>
      <c r="D31" s="47"/>
      <c r="E31" s="47"/>
      <c r="F31" s="47"/>
      <c r="G31" s="32">
        <f t="shared" si="0"/>
        <v>-0.25</v>
      </c>
      <c r="H31" s="51"/>
      <c r="I31" s="52"/>
      <c r="J31" s="52"/>
    </row>
    <row r="32" spans="1:10" s="49" customFormat="1" x14ac:dyDescent="0.25">
      <c r="A32" s="45">
        <v>46047</v>
      </c>
      <c r="B32" s="46" t="s">
        <v>15</v>
      </c>
      <c r="C32" s="47"/>
      <c r="D32" s="47"/>
      <c r="E32" s="47"/>
      <c r="F32" s="47"/>
      <c r="G32" s="32">
        <f t="shared" si="0"/>
        <v>-0.25</v>
      </c>
      <c r="H32" s="52"/>
      <c r="I32" s="52"/>
      <c r="J32" s="52"/>
    </row>
    <row r="33" spans="1:10" s="33" customFormat="1" x14ac:dyDescent="0.25">
      <c r="A33" s="29">
        <v>46048</v>
      </c>
      <c r="B33" s="30" t="s">
        <v>16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46049</v>
      </c>
      <c r="B34" s="30" t="s">
        <v>17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33" customFormat="1" x14ac:dyDescent="0.25">
      <c r="A35" s="29">
        <v>46050</v>
      </c>
      <c r="B35" s="30" t="s">
        <v>18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x14ac:dyDescent="0.25">
      <c r="A36" s="29">
        <v>46051</v>
      </c>
      <c r="B36" s="30" t="s">
        <v>19</v>
      </c>
      <c r="C36" s="31"/>
      <c r="D36" s="31"/>
      <c r="E36" s="31"/>
      <c r="F36" s="31"/>
      <c r="G36" s="32">
        <f t="shared" si="0"/>
        <v>-0.25</v>
      </c>
      <c r="H36" s="40"/>
      <c r="I36" s="40"/>
      <c r="J36" s="40"/>
    </row>
    <row r="37" spans="1:10" s="33" customFormat="1" x14ac:dyDescent="0.25">
      <c r="A37" s="29">
        <v>46052</v>
      </c>
      <c r="B37" s="30" t="s">
        <v>20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49" customFormat="1" x14ac:dyDescent="0.25">
      <c r="A38" s="45">
        <v>46053</v>
      </c>
      <c r="B38" s="46" t="s">
        <v>21</v>
      </c>
      <c r="C38" s="53"/>
      <c r="D38" s="53"/>
      <c r="E38" s="53"/>
      <c r="F38" s="53"/>
      <c r="G38" s="32">
        <f t="shared" si="0"/>
        <v>-0.25</v>
      </c>
      <c r="H38" s="52"/>
      <c r="I38" s="52"/>
      <c r="J38" s="52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s="33" customForma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s="33" customForma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x14ac:dyDescent="0.25">
      <c r="A42" s="1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1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1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1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1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1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1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1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1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1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1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1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1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1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1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1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1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1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1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1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1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1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1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1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1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1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1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1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1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1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1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1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1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1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1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1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1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1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1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1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1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1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1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1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1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1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1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1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1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1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1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1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1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1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1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1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1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1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1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1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1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1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1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1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1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1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1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1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1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1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1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1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1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1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1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1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1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1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1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1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1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1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1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1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1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1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1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1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1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1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1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1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1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1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1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1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1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1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1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1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1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1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1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1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1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1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1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1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1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1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1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1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1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1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1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1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1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1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1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1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1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1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1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1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1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1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1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1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1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1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1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1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1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1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1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1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1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1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1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1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1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1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1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1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1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1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1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1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1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1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1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1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1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1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1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1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1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1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1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1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1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1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1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1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1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1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1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1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1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1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1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1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1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1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1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1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1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1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1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1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1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1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1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1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1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1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1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1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1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1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1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1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1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1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1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1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1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1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1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1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1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1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1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1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1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1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1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1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1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1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1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1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1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1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1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1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1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1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1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1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1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1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1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1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1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1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1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1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1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1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1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1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1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1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1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1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1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1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1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1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1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1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1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1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1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1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1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1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1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1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1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1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1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1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1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1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1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1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1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1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1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1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1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1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1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1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1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1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1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1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1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1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1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1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1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1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1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1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1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1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1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1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1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1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1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1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1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1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1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1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1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1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1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1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1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1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1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1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1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1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1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1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1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1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1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1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1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1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1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1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1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1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1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1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1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1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1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1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1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1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1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1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1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1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1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1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1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1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1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1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1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1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1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1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1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1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1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1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1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1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1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1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1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1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1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1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1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1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1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1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1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1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1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1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1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1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1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1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1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1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1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1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1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1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1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1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1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1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1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1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1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1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1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1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1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1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1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1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1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1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1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1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1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1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1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1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1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1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1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1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1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1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1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1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1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1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1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1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1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1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1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1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1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1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1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1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1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1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1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1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1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1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1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1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1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1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1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1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1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1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1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1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1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1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1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1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1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1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1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1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1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1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1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1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1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1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1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1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1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1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1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1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1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1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1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1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1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1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1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1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1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1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1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1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1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1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1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1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1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1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1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1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1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1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1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1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1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1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1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1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1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1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1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1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1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1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1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1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1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1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1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1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1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1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1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1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1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1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1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1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1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1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1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1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1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1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1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1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1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1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1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1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1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1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1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1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1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1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1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1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1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1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1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1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1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1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1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1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1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1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1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1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1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1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1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1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1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1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1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1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1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1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1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1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1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1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1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1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1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1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1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1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1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1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1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1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1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1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1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1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1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1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1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1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1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1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1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1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1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1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1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1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1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1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1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1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1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1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1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1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1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1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1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1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1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1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1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1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1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1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1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1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1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1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1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1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1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1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1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1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1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1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1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1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1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1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1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1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1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1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1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1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1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1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1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1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1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1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1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1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1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1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1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1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1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1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1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1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1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1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1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1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1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1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1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1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1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1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1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1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1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1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1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1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1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1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1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1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1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1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1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1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1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1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1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1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1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1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1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1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1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1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1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1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1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1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1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1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1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1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1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1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1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1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1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1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1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1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1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1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1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1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1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1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1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1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1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1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1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1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1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1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1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1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1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1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1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1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1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1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1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1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1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1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1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1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1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1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1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1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1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1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1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1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1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1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1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1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1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1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1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1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1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1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1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1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1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1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1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1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1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1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1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1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1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1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1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1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1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1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1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1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1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1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1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1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1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1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1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1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1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1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1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1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1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1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1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1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1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1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1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1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1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1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1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1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1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1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1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1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1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1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1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1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1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1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1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1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1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1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1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1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1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1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1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1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1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1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1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1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1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1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1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1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1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1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1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1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1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1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1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1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1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1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1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1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1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1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1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1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1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1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1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1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1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1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1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1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1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1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1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1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1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1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1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1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1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1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1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1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1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1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1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1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1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1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1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1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1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1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1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1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1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1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1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1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1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1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1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1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1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1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1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1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1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1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1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1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1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1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1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1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1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1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1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1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1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1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1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1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1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1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1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1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1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1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1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1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1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1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1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1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1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1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1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1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1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1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1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1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1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1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1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1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1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1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1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1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1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1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1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1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1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1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1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1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1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1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1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1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1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1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1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1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1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1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1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1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1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1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1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1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1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1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1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1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1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1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1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1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1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1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1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1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1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1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1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1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1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1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1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1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1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1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1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1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1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1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1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1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1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1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1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1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1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1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1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1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1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1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1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1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1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1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1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1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1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1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I5:J5"/>
    <mergeCell ref="A6:B7"/>
    <mergeCell ref="C6:D6"/>
    <mergeCell ref="E6:F6"/>
    <mergeCell ref="D5:H5"/>
    <mergeCell ref="A5:C5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AC4D-07D9-48DD-B932-FD4366416001}">
  <dimension ref="A1:J996"/>
  <sheetViews>
    <sheetView workbookViewId="0">
      <selection activeCell="H11" sqref="H11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27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11" customFormat="1" x14ac:dyDescent="0.25">
      <c r="A8" s="16">
        <v>46054</v>
      </c>
      <c r="B8" s="9" t="s">
        <v>15</v>
      </c>
      <c r="C8" s="13"/>
      <c r="D8" s="13"/>
      <c r="E8" s="13"/>
      <c r="F8" s="13"/>
      <c r="G8" s="32">
        <f>SUM((F8-E8)+(D8-C8))-"6:00"</f>
        <v>-0.25</v>
      </c>
      <c r="H8" s="10"/>
      <c r="I8" s="10"/>
      <c r="J8" s="10"/>
    </row>
    <row r="9" spans="1:10" s="33" customFormat="1" x14ac:dyDescent="0.25">
      <c r="A9" s="29">
        <v>46055</v>
      </c>
      <c r="B9" s="30" t="s">
        <v>16</v>
      </c>
      <c r="C9" s="31"/>
      <c r="D9" s="34"/>
      <c r="E9" s="31"/>
      <c r="F9" s="31"/>
      <c r="G9" s="32">
        <f t="shared" ref="G9:G35" si="0">SUM((F9-E9)+(D9-C9))-"6:00"</f>
        <v>-0.25</v>
      </c>
      <c r="H9" s="35"/>
      <c r="I9" s="36"/>
      <c r="J9" s="36"/>
    </row>
    <row r="10" spans="1:10" s="33" customFormat="1" x14ac:dyDescent="0.25">
      <c r="A10" s="29">
        <v>46056</v>
      </c>
      <c r="B10" s="30" t="s">
        <v>17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33" customFormat="1" x14ac:dyDescent="0.25">
      <c r="A11" s="29">
        <v>46057</v>
      </c>
      <c r="B11" s="30" t="s">
        <v>18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33" customFormat="1" x14ac:dyDescent="0.25">
      <c r="A12" s="29">
        <v>46058</v>
      </c>
      <c r="B12" s="30" t="s">
        <v>19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46059</v>
      </c>
      <c r="B13" s="30" t="s">
        <v>20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11" customFormat="1" x14ac:dyDescent="0.25">
      <c r="A14" s="16">
        <v>46060</v>
      </c>
      <c r="B14" s="9" t="s">
        <v>21</v>
      </c>
      <c r="C14" s="13"/>
      <c r="D14" s="13"/>
      <c r="E14" s="13"/>
      <c r="F14" s="13"/>
      <c r="G14" s="32">
        <f t="shared" si="0"/>
        <v>-0.25</v>
      </c>
      <c r="H14" s="10"/>
      <c r="I14" s="10"/>
      <c r="J14" s="10"/>
    </row>
    <row r="15" spans="1:10" s="11" customFormat="1" x14ac:dyDescent="0.25">
      <c r="A15" s="16">
        <v>46061</v>
      </c>
      <c r="B15" s="9" t="s">
        <v>15</v>
      </c>
      <c r="C15" s="13"/>
      <c r="D15" s="13"/>
      <c r="E15" s="13"/>
      <c r="F15" s="13"/>
      <c r="G15" s="32">
        <f t="shared" si="0"/>
        <v>-0.25</v>
      </c>
      <c r="H15" s="10"/>
      <c r="I15" s="10"/>
      <c r="J15" s="10"/>
    </row>
    <row r="16" spans="1:10" s="33" customFormat="1" x14ac:dyDescent="0.25">
      <c r="A16" s="29">
        <v>46062</v>
      </c>
      <c r="B16" s="30" t="s">
        <v>16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46063</v>
      </c>
      <c r="B17" s="30" t="s">
        <v>17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46064</v>
      </c>
      <c r="B18" s="30" t="s">
        <v>18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33" customFormat="1" x14ac:dyDescent="0.25">
      <c r="A19" s="29">
        <v>46065</v>
      </c>
      <c r="B19" s="30" t="s">
        <v>19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33" customFormat="1" x14ac:dyDescent="0.25">
      <c r="A20" s="29">
        <v>46066</v>
      </c>
      <c r="B20" s="30" t="s">
        <v>20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11" customFormat="1" x14ac:dyDescent="0.25">
      <c r="A21" s="16">
        <v>46067</v>
      </c>
      <c r="B21" s="9" t="s">
        <v>21</v>
      </c>
      <c r="C21" s="13"/>
      <c r="D21" s="13"/>
      <c r="E21" s="13"/>
      <c r="F21" s="13"/>
      <c r="G21" s="32">
        <f t="shared" si="0"/>
        <v>-0.25</v>
      </c>
      <c r="H21" s="10"/>
      <c r="I21" s="10"/>
      <c r="J21" s="10"/>
    </row>
    <row r="22" spans="1:10" s="11" customFormat="1" x14ac:dyDescent="0.25">
      <c r="A22" s="16">
        <v>46068</v>
      </c>
      <c r="B22" s="9" t="s">
        <v>15</v>
      </c>
      <c r="C22" s="13"/>
      <c r="D22" s="13"/>
      <c r="E22" s="13"/>
      <c r="F22" s="13"/>
      <c r="G22" s="32">
        <f t="shared" si="0"/>
        <v>-0.25</v>
      </c>
      <c r="H22" s="10"/>
      <c r="I22" s="10"/>
      <c r="J22" s="10"/>
    </row>
    <row r="23" spans="1:10" s="33" customFormat="1" x14ac:dyDescent="0.25">
      <c r="A23" s="29">
        <v>46069</v>
      </c>
      <c r="B23" s="30" t="s">
        <v>16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46070</v>
      </c>
      <c r="B24" s="30" t="s">
        <v>17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46071</v>
      </c>
      <c r="B25" s="30" t="s">
        <v>18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33" customFormat="1" x14ac:dyDescent="0.25">
      <c r="A26" s="29">
        <v>46072</v>
      </c>
      <c r="B26" s="30" t="s">
        <v>19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33" customFormat="1" x14ac:dyDescent="0.25">
      <c r="A27" s="29">
        <v>46073</v>
      </c>
      <c r="B27" s="30" t="s">
        <v>20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11" customFormat="1" x14ac:dyDescent="0.25">
      <c r="A28" s="16">
        <v>46074</v>
      </c>
      <c r="B28" s="9" t="s">
        <v>21</v>
      </c>
      <c r="C28" s="13"/>
      <c r="D28" s="13"/>
      <c r="E28" s="13"/>
      <c r="F28" s="13"/>
      <c r="G28" s="32">
        <f t="shared" si="0"/>
        <v>-0.25</v>
      </c>
      <c r="H28" s="10"/>
      <c r="I28" s="10"/>
      <c r="J28" s="10"/>
    </row>
    <row r="29" spans="1:10" s="11" customFormat="1" x14ac:dyDescent="0.25">
      <c r="A29" s="16">
        <v>46075</v>
      </c>
      <c r="B29" s="9" t="s">
        <v>15</v>
      </c>
      <c r="C29" s="13"/>
      <c r="D29" s="13"/>
      <c r="E29" s="13"/>
      <c r="F29" s="13"/>
      <c r="G29" s="32">
        <f t="shared" si="0"/>
        <v>-0.25</v>
      </c>
      <c r="H29" s="10"/>
      <c r="I29" s="10"/>
      <c r="J29" s="10"/>
    </row>
    <row r="30" spans="1:10" s="33" customFormat="1" x14ac:dyDescent="0.25">
      <c r="A30" s="29">
        <v>46076</v>
      </c>
      <c r="B30" s="30" t="s">
        <v>16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46077</v>
      </c>
      <c r="B31" s="30" t="s">
        <v>17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33" customFormat="1" x14ac:dyDescent="0.25">
      <c r="A32" s="29">
        <v>46078</v>
      </c>
      <c r="B32" s="30" t="s">
        <v>18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33" customFormat="1" x14ac:dyDescent="0.25">
      <c r="A33" s="29">
        <v>46079</v>
      </c>
      <c r="B33" s="30" t="s">
        <v>19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46080</v>
      </c>
      <c r="B34" s="30" t="s">
        <v>20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11" customFormat="1" x14ac:dyDescent="0.25">
      <c r="A35" s="16">
        <v>46081</v>
      </c>
      <c r="B35" s="9" t="s">
        <v>21</v>
      </c>
      <c r="C35" s="14"/>
      <c r="D35" s="14"/>
      <c r="E35" s="14"/>
      <c r="F35" s="14"/>
      <c r="G35" s="32">
        <f t="shared" si="0"/>
        <v>-0.25</v>
      </c>
      <c r="H35" s="12"/>
      <c r="I35" s="12"/>
      <c r="J35" s="12"/>
    </row>
    <row r="36" spans="1:10" s="33" customFormat="1" x14ac:dyDescent="0.25">
      <c r="A36" s="42" t="s">
        <v>25</v>
      </c>
      <c r="B36" s="42"/>
      <c r="C36" s="42"/>
      <c r="D36" s="42"/>
      <c r="E36" s="42"/>
      <c r="F36" s="42"/>
      <c r="G36" s="43">
        <f>SUM(G8:G35)</f>
        <v>-7</v>
      </c>
      <c r="H36" s="44"/>
      <c r="I36" s="44"/>
      <c r="J36" s="44"/>
    </row>
    <row r="37" spans="1:10" s="33" customForma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x14ac:dyDescent="0.25">
      <c r="A38" s="1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1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1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1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1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1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1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1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1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1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1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1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1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1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1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1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1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1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1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1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1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1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1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1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1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1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1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1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1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1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1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1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1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1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1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1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1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1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1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1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1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1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1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1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1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1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1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1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1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1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1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1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1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1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1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1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1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1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1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1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1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1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1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1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1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1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1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1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1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1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1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1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1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1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1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1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1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1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1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1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1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1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1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1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1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1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1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1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1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1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1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1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1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1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1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1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1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1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1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1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1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1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1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1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1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1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1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1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1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1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1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1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1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1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1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1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1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1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1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1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1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1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1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1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1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1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1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1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1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1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1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1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1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1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1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1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1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1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1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1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1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1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1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1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1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1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1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1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1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1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1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1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1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1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1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1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1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1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1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1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1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1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1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1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1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1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1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1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1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1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1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1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1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1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1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1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1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1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1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1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1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1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1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1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1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1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1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1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1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1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1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1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1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1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1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1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1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1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1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1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1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1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1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1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1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1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1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1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1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1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1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1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1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1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1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1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1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1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1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1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1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1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1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1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1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1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1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1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1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1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1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1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1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1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1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1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1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1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1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1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1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1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1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1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1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1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1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1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1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1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1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1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1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1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1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1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1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1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1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1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1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1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1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1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1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1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1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1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1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1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1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1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1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1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1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1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1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1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1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1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1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1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1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1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1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1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1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1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1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1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1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1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1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1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1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1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1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1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1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1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1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1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1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1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1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1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1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1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1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1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1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1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1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1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1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1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1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1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1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1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1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1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1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1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1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1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1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1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1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1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1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1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1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1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1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1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1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1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1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1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1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1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1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1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1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1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1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1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1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1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1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1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1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1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1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1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1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1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1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1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1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1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1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1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1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1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1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1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1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1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1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1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1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1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1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1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1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1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1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1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1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1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1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1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1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1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1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1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1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1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1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1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1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1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1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1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1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1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1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1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1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1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1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1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1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1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1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1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1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1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1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1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1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1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1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1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1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1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1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1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1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1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1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1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1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1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1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1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1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1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1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1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1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1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1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1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1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1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1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1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1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1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1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1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1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1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1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1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1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1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1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1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1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1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1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1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1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1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1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1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1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1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1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1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1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1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1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1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1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1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1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1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1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1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1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1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1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1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1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1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1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1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1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1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1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1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1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1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1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1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1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1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1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1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1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1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1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1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1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1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1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1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1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1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1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1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1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1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1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1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1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1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1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1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1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1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1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1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1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1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1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1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1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1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1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1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1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1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1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1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1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1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1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1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1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1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1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1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1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1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1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1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1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1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1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1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1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1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1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1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1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1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1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1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1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1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1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1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1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1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1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1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1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1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1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1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1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1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1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1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1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1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1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1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1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1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1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1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1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1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1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1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1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1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1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1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1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1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1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1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1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1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1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1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1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1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1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1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1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1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1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1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1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1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1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1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1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1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1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1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1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1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1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1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1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1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1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1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1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1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1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1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1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1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1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1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1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1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1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1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1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1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1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1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1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1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1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1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1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1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1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1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1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1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1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1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1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1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1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1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1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1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1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1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1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1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1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1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1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1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1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1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1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1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1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1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1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1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1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1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1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1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1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1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1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1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1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1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1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1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1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1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1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1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1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1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1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1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1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1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1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1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1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1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1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1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1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1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1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1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1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1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1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1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1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1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1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1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1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1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1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1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1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1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1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1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1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1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1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1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1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1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1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1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1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1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1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1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1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1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1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1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1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1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1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1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1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1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1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1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1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1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1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1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1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1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1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1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1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1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1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1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1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1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1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1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1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1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1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1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1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1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1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1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1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1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1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1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1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1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1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1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1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1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1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1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1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1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1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1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1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1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1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1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1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1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1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1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1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1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1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1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1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1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1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1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1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1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1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1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1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1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1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1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1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1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1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1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1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1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1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1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1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1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1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1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1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1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1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1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1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1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1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1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1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1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1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1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1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1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1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1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1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1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1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1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1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1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1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1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1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1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1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1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1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1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1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1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1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1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1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1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1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1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1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1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1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1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1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1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1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1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1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1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1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1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1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1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1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1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1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1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1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1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1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1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1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1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1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1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1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1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1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1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1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1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1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1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1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1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1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1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1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1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1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1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1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1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1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1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1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1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1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1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1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1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1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1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1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1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1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1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1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1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1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1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1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1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1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1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1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1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1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1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1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1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1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1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1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1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1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1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1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1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1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1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1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1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1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1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1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1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1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1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1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1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1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1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1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1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1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1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1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1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1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1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1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1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15"/>
      <c r="B996" s="5"/>
      <c r="C996" s="5"/>
      <c r="D996" s="5"/>
      <c r="E996" s="5"/>
      <c r="F996" s="5"/>
      <c r="G996" s="5"/>
      <c r="H996" s="5"/>
      <c r="I996" s="5"/>
      <c r="J996" s="5"/>
    </row>
  </sheetData>
  <mergeCells count="13">
    <mergeCell ref="A1:H1"/>
    <mergeCell ref="I1:J4"/>
    <mergeCell ref="A2:H2"/>
    <mergeCell ref="A3:H3"/>
    <mergeCell ref="A4:C4"/>
    <mergeCell ref="E4:F4"/>
    <mergeCell ref="A36:F36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4F21-0D82-41DC-B9A6-A66114E0DE1A}">
  <dimension ref="A1:J999"/>
  <sheetViews>
    <sheetView workbookViewId="0">
      <selection activeCell="H8" sqref="H8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28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49" customFormat="1" x14ac:dyDescent="0.25">
      <c r="A8" s="45">
        <v>46082</v>
      </c>
      <c r="B8" s="46" t="s">
        <v>15</v>
      </c>
      <c r="C8" s="47"/>
      <c r="D8" s="47"/>
      <c r="E8" s="47"/>
      <c r="F8" s="47"/>
      <c r="G8" s="32">
        <f>SUM((F8-E8)+(D8-C8))-"6:00"</f>
        <v>-0.25</v>
      </c>
      <c r="H8" s="48"/>
      <c r="I8" s="48"/>
      <c r="J8" s="48"/>
    </row>
    <row r="9" spans="1:10" s="33" customFormat="1" x14ac:dyDescent="0.25">
      <c r="A9" s="29">
        <v>46083</v>
      </c>
      <c r="B9" s="30" t="s">
        <v>16</v>
      </c>
      <c r="C9" s="31"/>
      <c r="D9" s="34"/>
      <c r="E9" s="31"/>
      <c r="F9" s="31"/>
      <c r="G9" s="32">
        <f t="shared" ref="G9:G38" si="0">SUM((F9-E9)+(D9-C9))-"6:00"</f>
        <v>-0.25</v>
      </c>
      <c r="H9" s="35"/>
      <c r="I9" s="36"/>
      <c r="J9" s="36"/>
    </row>
    <row r="10" spans="1:10" s="33" customFormat="1" x14ac:dyDescent="0.25">
      <c r="A10" s="29">
        <v>46084</v>
      </c>
      <c r="B10" s="30" t="s">
        <v>17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33" customFormat="1" x14ac:dyDescent="0.25">
      <c r="A11" s="29">
        <v>46085</v>
      </c>
      <c r="B11" s="30" t="s">
        <v>18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33" customFormat="1" x14ac:dyDescent="0.25">
      <c r="A12" s="29">
        <v>46086</v>
      </c>
      <c r="B12" s="30" t="s">
        <v>19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46087</v>
      </c>
      <c r="B13" s="30" t="s">
        <v>20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49" customFormat="1" x14ac:dyDescent="0.25">
      <c r="A14" s="45">
        <v>46088</v>
      </c>
      <c r="B14" s="46" t="s">
        <v>21</v>
      </c>
      <c r="C14" s="47"/>
      <c r="D14" s="47"/>
      <c r="E14" s="47"/>
      <c r="F14" s="47"/>
      <c r="G14" s="32">
        <f t="shared" si="0"/>
        <v>-0.25</v>
      </c>
      <c r="H14" s="48"/>
      <c r="I14" s="48"/>
      <c r="J14" s="48"/>
    </row>
    <row r="15" spans="1:10" s="49" customFormat="1" x14ac:dyDescent="0.25">
      <c r="A15" s="45">
        <v>46089</v>
      </c>
      <c r="B15" s="46" t="s">
        <v>15</v>
      </c>
      <c r="C15" s="47"/>
      <c r="D15" s="47"/>
      <c r="E15" s="47"/>
      <c r="F15" s="47"/>
      <c r="G15" s="32">
        <f t="shared" si="0"/>
        <v>-0.25</v>
      </c>
      <c r="H15" s="48"/>
      <c r="I15" s="48"/>
      <c r="J15" s="48"/>
    </row>
    <row r="16" spans="1:10" s="33" customFormat="1" x14ac:dyDescent="0.25">
      <c r="A16" s="29">
        <v>46090</v>
      </c>
      <c r="B16" s="30" t="s">
        <v>16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46091</v>
      </c>
      <c r="B17" s="30" t="s">
        <v>17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46092</v>
      </c>
      <c r="B18" s="30" t="s">
        <v>18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33" customFormat="1" x14ac:dyDescent="0.25">
      <c r="A19" s="29">
        <v>46093</v>
      </c>
      <c r="B19" s="30" t="s">
        <v>19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33" customFormat="1" x14ac:dyDescent="0.25">
      <c r="A20" s="29">
        <v>46094</v>
      </c>
      <c r="B20" s="30" t="s">
        <v>20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49" customFormat="1" x14ac:dyDescent="0.25">
      <c r="A21" s="45">
        <v>46095</v>
      </c>
      <c r="B21" s="46" t="s">
        <v>21</v>
      </c>
      <c r="C21" s="47"/>
      <c r="D21" s="47"/>
      <c r="E21" s="47"/>
      <c r="F21" s="47"/>
      <c r="G21" s="32">
        <f t="shared" si="0"/>
        <v>-0.25</v>
      </c>
      <c r="H21" s="48"/>
      <c r="I21" s="48"/>
      <c r="J21" s="48"/>
    </row>
    <row r="22" spans="1:10" s="49" customFormat="1" x14ac:dyDescent="0.25">
      <c r="A22" s="45">
        <v>46096</v>
      </c>
      <c r="B22" s="46" t="s">
        <v>15</v>
      </c>
      <c r="C22" s="47"/>
      <c r="D22" s="47"/>
      <c r="E22" s="47"/>
      <c r="F22" s="47"/>
      <c r="G22" s="32">
        <f t="shared" si="0"/>
        <v>-0.25</v>
      </c>
      <c r="H22" s="48"/>
      <c r="I22" s="48"/>
      <c r="J22" s="48"/>
    </row>
    <row r="23" spans="1:10" s="33" customFormat="1" x14ac:dyDescent="0.25">
      <c r="A23" s="29">
        <v>46097</v>
      </c>
      <c r="B23" s="30" t="s">
        <v>16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46098</v>
      </c>
      <c r="B24" s="30" t="s">
        <v>17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46099</v>
      </c>
      <c r="B25" s="30" t="s">
        <v>18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33" customFormat="1" x14ac:dyDescent="0.25">
      <c r="A26" s="29">
        <v>46100</v>
      </c>
      <c r="B26" s="30" t="s">
        <v>19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33" customFormat="1" x14ac:dyDescent="0.25">
      <c r="A27" s="29">
        <v>46101</v>
      </c>
      <c r="B27" s="30" t="s">
        <v>20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49" customFormat="1" x14ac:dyDescent="0.25">
      <c r="A28" s="45">
        <v>46102</v>
      </c>
      <c r="B28" s="46" t="s">
        <v>21</v>
      </c>
      <c r="C28" s="47"/>
      <c r="D28" s="47"/>
      <c r="E28" s="47"/>
      <c r="F28" s="47"/>
      <c r="G28" s="32">
        <f t="shared" si="0"/>
        <v>-0.25</v>
      </c>
      <c r="H28" s="48"/>
      <c r="I28" s="48"/>
      <c r="J28" s="48"/>
    </row>
    <row r="29" spans="1:10" s="49" customFormat="1" x14ac:dyDescent="0.25">
      <c r="A29" s="45">
        <v>46103</v>
      </c>
      <c r="B29" s="46" t="s">
        <v>15</v>
      </c>
      <c r="C29" s="47"/>
      <c r="D29" s="47"/>
      <c r="E29" s="47"/>
      <c r="F29" s="47"/>
      <c r="G29" s="32">
        <f t="shared" si="0"/>
        <v>-0.25</v>
      </c>
      <c r="H29" s="48"/>
      <c r="I29" s="48"/>
      <c r="J29" s="48"/>
    </row>
    <row r="30" spans="1:10" s="33" customFormat="1" x14ac:dyDescent="0.25">
      <c r="A30" s="29">
        <v>46104</v>
      </c>
      <c r="B30" s="30" t="s">
        <v>16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46105</v>
      </c>
      <c r="B31" s="30" t="s">
        <v>17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33" customFormat="1" x14ac:dyDescent="0.25">
      <c r="A32" s="29">
        <v>46106</v>
      </c>
      <c r="B32" s="30" t="s">
        <v>18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33" customFormat="1" x14ac:dyDescent="0.25">
      <c r="A33" s="29">
        <v>46107</v>
      </c>
      <c r="B33" s="30" t="s">
        <v>19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46108</v>
      </c>
      <c r="B34" s="30" t="s">
        <v>20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49" customFormat="1" x14ac:dyDescent="0.25">
      <c r="A35" s="45">
        <v>46109</v>
      </c>
      <c r="B35" s="46" t="s">
        <v>21</v>
      </c>
      <c r="C35" s="53"/>
      <c r="D35" s="53"/>
      <c r="E35" s="53"/>
      <c r="F35" s="53"/>
      <c r="G35" s="32">
        <f t="shared" si="0"/>
        <v>-0.25</v>
      </c>
      <c r="H35" s="52"/>
      <c r="I35" s="52"/>
      <c r="J35" s="52"/>
    </row>
    <row r="36" spans="1:10" s="49" customFormat="1" ht="15.75" x14ac:dyDescent="0.25">
      <c r="A36" s="45">
        <v>46110</v>
      </c>
      <c r="B36" s="46" t="s">
        <v>15</v>
      </c>
      <c r="C36" s="47"/>
      <c r="D36" s="47"/>
      <c r="E36" s="47"/>
      <c r="F36" s="47"/>
      <c r="G36" s="32">
        <f t="shared" si="0"/>
        <v>-0.25</v>
      </c>
      <c r="H36" s="51"/>
      <c r="I36" s="52"/>
      <c r="J36" s="52"/>
    </row>
    <row r="37" spans="1:10" s="33" customFormat="1" x14ac:dyDescent="0.25">
      <c r="A37" s="29">
        <v>46111</v>
      </c>
      <c r="B37" s="30" t="s">
        <v>16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>
        <v>46112</v>
      </c>
      <c r="B38" s="30" t="s">
        <v>17</v>
      </c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F6E2-7C27-4311-8A20-EDB86E22BA2C}">
  <dimension ref="A1:J999"/>
  <sheetViews>
    <sheetView workbookViewId="0">
      <selection activeCell="H14" sqref="H14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30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46113</v>
      </c>
      <c r="B8" s="30" t="s">
        <v>18</v>
      </c>
      <c r="C8" s="31"/>
      <c r="D8" s="31"/>
      <c r="E8" s="31"/>
      <c r="F8" s="31"/>
      <c r="G8" s="32">
        <f>SUM((F8-E8)+(D8-C8))-"6:00"</f>
        <v>-0.25</v>
      </c>
      <c r="H8" s="32"/>
      <c r="I8" s="32"/>
      <c r="J8" s="32"/>
    </row>
    <row r="9" spans="1:10" s="33" customFormat="1" x14ac:dyDescent="0.25">
      <c r="A9" s="29">
        <v>46114</v>
      </c>
      <c r="B9" s="30" t="s">
        <v>19</v>
      </c>
      <c r="C9" s="31"/>
      <c r="D9" s="34"/>
      <c r="E9" s="31"/>
      <c r="F9" s="31"/>
      <c r="G9" s="32">
        <f t="shared" ref="G9:G38" si="0">SUM((F9-E9)+(D9-C9))-"6:00"</f>
        <v>-0.25</v>
      </c>
      <c r="H9" s="35"/>
      <c r="I9" s="36"/>
      <c r="J9" s="36"/>
    </row>
    <row r="10" spans="1:10" s="49" customFormat="1" x14ac:dyDescent="0.25">
      <c r="A10" s="45">
        <v>46115</v>
      </c>
      <c r="B10" s="46" t="s">
        <v>20</v>
      </c>
      <c r="C10" s="47"/>
      <c r="D10" s="47"/>
      <c r="E10" s="47"/>
      <c r="F10" s="47"/>
      <c r="G10" s="32">
        <f t="shared" si="0"/>
        <v>-0.25</v>
      </c>
      <c r="H10" s="48" t="s">
        <v>29</v>
      </c>
      <c r="I10" s="48"/>
      <c r="J10" s="48"/>
    </row>
    <row r="11" spans="1:10" s="49" customFormat="1" x14ac:dyDescent="0.25">
      <c r="A11" s="45">
        <v>46116</v>
      </c>
      <c r="B11" s="46" t="s">
        <v>21</v>
      </c>
      <c r="C11" s="47"/>
      <c r="D11" s="47"/>
      <c r="E11" s="47"/>
      <c r="F11" s="47"/>
      <c r="G11" s="32">
        <f t="shared" si="0"/>
        <v>-0.25</v>
      </c>
      <c r="H11" s="48"/>
      <c r="I11" s="48"/>
      <c r="J11" s="48"/>
    </row>
    <row r="12" spans="1:10" s="49" customFormat="1" x14ac:dyDescent="0.25">
      <c r="A12" s="45">
        <v>46117</v>
      </c>
      <c r="B12" s="46" t="s">
        <v>15</v>
      </c>
      <c r="C12" s="47"/>
      <c r="D12" s="47"/>
      <c r="E12" s="47"/>
      <c r="F12" s="47"/>
      <c r="G12" s="32">
        <f t="shared" si="0"/>
        <v>-0.25</v>
      </c>
      <c r="H12" s="48"/>
      <c r="I12" s="48"/>
      <c r="J12" s="48"/>
    </row>
    <row r="13" spans="1:10" s="33" customFormat="1" x14ac:dyDescent="0.25">
      <c r="A13" s="29">
        <v>46118</v>
      </c>
      <c r="B13" s="30" t="s">
        <v>16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33" customFormat="1" x14ac:dyDescent="0.25">
      <c r="A14" s="29">
        <v>46119</v>
      </c>
      <c r="B14" s="30" t="s">
        <v>17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33" customFormat="1" x14ac:dyDescent="0.25">
      <c r="A15" s="29">
        <v>46120</v>
      </c>
      <c r="B15" s="30" t="s">
        <v>18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46121</v>
      </c>
      <c r="B16" s="30" t="s">
        <v>19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46122</v>
      </c>
      <c r="B17" s="30" t="s">
        <v>20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49" customFormat="1" ht="15.75" x14ac:dyDescent="0.25">
      <c r="A18" s="45">
        <v>46123</v>
      </c>
      <c r="B18" s="46" t="s">
        <v>21</v>
      </c>
      <c r="C18" s="47"/>
      <c r="D18" s="47"/>
      <c r="E18" s="47"/>
      <c r="F18" s="47"/>
      <c r="G18" s="32">
        <f t="shared" si="0"/>
        <v>-0.25</v>
      </c>
      <c r="H18" s="50"/>
      <c r="I18" s="48"/>
      <c r="J18" s="48"/>
    </row>
    <row r="19" spans="1:10" s="49" customFormat="1" x14ac:dyDescent="0.25">
      <c r="A19" s="45">
        <v>46124</v>
      </c>
      <c r="B19" s="46" t="s">
        <v>15</v>
      </c>
      <c r="C19" s="47"/>
      <c r="D19" s="47"/>
      <c r="E19" s="47"/>
      <c r="F19" s="47"/>
      <c r="G19" s="32">
        <f t="shared" si="0"/>
        <v>-0.25</v>
      </c>
      <c r="H19" s="48"/>
      <c r="I19" s="48"/>
      <c r="J19" s="48"/>
    </row>
    <row r="20" spans="1:10" s="33" customFormat="1" x14ac:dyDescent="0.25">
      <c r="A20" s="29">
        <v>46125</v>
      </c>
      <c r="B20" s="30" t="s">
        <v>16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33" customFormat="1" x14ac:dyDescent="0.25">
      <c r="A21" s="29">
        <v>46126</v>
      </c>
      <c r="B21" s="30" t="s">
        <v>17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46127</v>
      </c>
      <c r="B22" s="30" t="s">
        <v>18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46128</v>
      </c>
      <c r="B23" s="30" t="s">
        <v>19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46129</v>
      </c>
      <c r="B24" s="30" t="s">
        <v>20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49" customFormat="1" x14ac:dyDescent="0.25">
      <c r="A25" s="45">
        <v>46130</v>
      </c>
      <c r="B25" s="46" t="s">
        <v>21</v>
      </c>
      <c r="C25" s="47"/>
      <c r="D25" s="47"/>
      <c r="E25" s="47"/>
      <c r="F25" s="47"/>
      <c r="G25" s="32">
        <f t="shared" si="0"/>
        <v>-0.25</v>
      </c>
      <c r="H25" s="48"/>
      <c r="I25" s="48"/>
      <c r="J25" s="48"/>
    </row>
    <row r="26" spans="1:10" s="49" customFormat="1" x14ac:dyDescent="0.25">
      <c r="A26" s="45">
        <v>46131</v>
      </c>
      <c r="B26" s="46" t="s">
        <v>15</v>
      </c>
      <c r="C26" s="47"/>
      <c r="D26" s="47"/>
      <c r="E26" s="47"/>
      <c r="F26" s="47"/>
      <c r="G26" s="32">
        <f t="shared" si="0"/>
        <v>-0.25</v>
      </c>
      <c r="H26" s="48"/>
      <c r="I26" s="48"/>
      <c r="J26" s="48"/>
    </row>
    <row r="27" spans="1:10" s="33" customFormat="1" x14ac:dyDescent="0.25">
      <c r="A27" s="29">
        <v>46132</v>
      </c>
      <c r="B27" s="30" t="s">
        <v>16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33" customFormat="1" x14ac:dyDescent="0.25">
      <c r="A28" s="29">
        <v>46133</v>
      </c>
      <c r="B28" s="30" t="s">
        <v>17</v>
      </c>
      <c r="C28" s="31"/>
      <c r="D28" s="31"/>
      <c r="E28" s="31"/>
      <c r="F28" s="31"/>
      <c r="G28" s="32">
        <f t="shared" si="0"/>
        <v>-0.25</v>
      </c>
      <c r="H28" s="32" t="s">
        <v>29</v>
      </c>
      <c r="I28" s="32"/>
      <c r="J28" s="32"/>
    </row>
    <row r="29" spans="1:10" s="33" customFormat="1" x14ac:dyDescent="0.25">
      <c r="A29" s="29">
        <v>46134</v>
      </c>
      <c r="B29" s="30" t="s">
        <v>18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46135</v>
      </c>
      <c r="B30" s="30" t="s">
        <v>19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46136</v>
      </c>
      <c r="B31" s="30" t="s">
        <v>20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49" customFormat="1" x14ac:dyDescent="0.25">
      <c r="A32" s="45">
        <v>46137</v>
      </c>
      <c r="B32" s="46" t="s">
        <v>21</v>
      </c>
      <c r="C32" s="47"/>
      <c r="D32" s="47"/>
      <c r="E32" s="47"/>
      <c r="F32" s="47"/>
      <c r="G32" s="32">
        <f t="shared" si="0"/>
        <v>-0.25</v>
      </c>
      <c r="H32" s="52"/>
      <c r="I32" s="52"/>
      <c r="J32" s="52"/>
    </row>
    <row r="33" spans="1:10" s="49" customFormat="1" x14ac:dyDescent="0.25">
      <c r="A33" s="45">
        <v>46138</v>
      </c>
      <c r="B33" s="46" t="s">
        <v>15</v>
      </c>
      <c r="C33" s="47"/>
      <c r="D33" s="47"/>
      <c r="E33" s="47"/>
      <c r="F33" s="47"/>
      <c r="G33" s="32">
        <f t="shared" si="0"/>
        <v>-0.25</v>
      </c>
      <c r="H33" s="52"/>
      <c r="I33" s="52"/>
      <c r="J33" s="52"/>
    </row>
    <row r="34" spans="1:10" s="33" customFormat="1" x14ac:dyDescent="0.25">
      <c r="A34" s="29">
        <v>46139</v>
      </c>
      <c r="B34" s="30" t="s">
        <v>16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33" customFormat="1" x14ac:dyDescent="0.25">
      <c r="A35" s="29">
        <v>46140</v>
      </c>
      <c r="B35" s="30" t="s">
        <v>17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ht="15.75" x14ac:dyDescent="0.25">
      <c r="A36" s="29">
        <v>46141</v>
      </c>
      <c r="B36" s="30" t="s">
        <v>18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33" customFormat="1" x14ac:dyDescent="0.25">
      <c r="A37" s="29">
        <v>46142</v>
      </c>
      <c r="B37" s="30" t="s">
        <v>19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/>
      <c r="B38" s="30"/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s="33" customForma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C400-0894-416E-A163-CC65F04A3357}">
  <dimension ref="A1:J999"/>
  <sheetViews>
    <sheetView workbookViewId="0">
      <selection activeCell="G11" sqref="G11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31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49" customFormat="1" x14ac:dyDescent="0.25">
      <c r="A8" s="45">
        <v>46143</v>
      </c>
      <c r="B8" s="46" t="s">
        <v>20</v>
      </c>
      <c r="C8" s="47"/>
      <c r="D8" s="47"/>
      <c r="E8" s="47"/>
      <c r="F8" s="47"/>
      <c r="G8" s="32">
        <f>SUM((F8-E8)+(D8-C8))-"6:00"</f>
        <v>-0.25</v>
      </c>
      <c r="H8" s="48" t="s">
        <v>29</v>
      </c>
      <c r="I8" s="48"/>
      <c r="J8" s="48"/>
    </row>
    <row r="9" spans="1:10" s="49" customFormat="1" x14ac:dyDescent="0.25">
      <c r="A9" s="45">
        <v>46144</v>
      </c>
      <c r="B9" s="46" t="s">
        <v>21</v>
      </c>
      <c r="C9" s="47"/>
      <c r="D9" s="54"/>
      <c r="E9" s="47"/>
      <c r="F9" s="47"/>
      <c r="G9" s="32">
        <f t="shared" ref="G9:G38" si="0">SUM((F9-E9)+(D9-C9))-"6:00"</f>
        <v>-0.25</v>
      </c>
      <c r="H9" s="55"/>
      <c r="I9" s="56"/>
      <c r="J9" s="56"/>
    </row>
    <row r="10" spans="1:10" s="49" customFormat="1" x14ac:dyDescent="0.25">
      <c r="A10" s="45">
        <v>46145</v>
      </c>
      <c r="B10" s="46" t="s">
        <v>15</v>
      </c>
      <c r="C10" s="47"/>
      <c r="D10" s="47"/>
      <c r="E10" s="47"/>
      <c r="F10" s="47"/>
      <c r="G10" s="32">
        <f t="shared" si="0"/>
        <v>-0.25</v>
      </c>
      <c r="H10" s="48"/>
      <c r="I10" s="48"/>
      <c r="J10" s="48"/>
    </row>
    <row r="11" spans="1:10" s="33" customFormat="1" x14ac:dyDescent="0.25">
      <c r="A11" s="29">
        <v>46146</v>
      </c>
      <c r="B11" s="30" t="s">
        <v>16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33" customFormat="1" x14ac:dyDescent="0.25">
      <c r="A12" s="29">
        <v>46147</v>
      </c>
      <c r="B12" s="30" t="s">
        <v>17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46148</v>
      </c>
      <c r="B13" s="30" t="s">
        <v>18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33" customFormat="1" x14ac:dyDescent="0.25">
      <c r="A14" s="29">
        <v>46149</v>
      </c>
      <c r="B14" s="30" t="s">
        <v>19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33" customFormat="1" x14ac:dyDescent="0.25">
      <c r="A15" s="29">
        <v>46150</v>
      </c>
      <c r="B15" s="30" t="s">
        <v>20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49" customFormat="1" x14ac:dyDescent="0.25">
      <c r="A16" s="45">
        <v>46151</v>
      </c>
      <c r="B16" s="46" t="s">
        <v>21</v>
      </c>
      <c r="C16" s="47"/>
      <c r="D16" s="47"/>
      <c r="E16" s="47"/>
      <c r="F16" s="47"/>
      <c r="G16" s="32">
        <f t="shared" si="0"/>
        <v>-0.25</v>
      </c>
      <c r="H16" s="57"/>
      <c r="I16" s="57"/>
      <c r="J16" s="57"/>
    </row>
    <row r="17" spans="1:10" s="49" customFormat="1" x14ac:dyDescent="0.25">
      <c r="A17" s="45">
        <v>46152</v>
      </c>
      <c r="B17" s="46" t="s">
        <v>15</v>
      </c>
      <c r="C17" s="47"/>
      <c r="D17" s="47"/>
      <c r="E17" s="47"/>
      <c r="F17" s="47"/>
      <c r="G17" s="32">
        <f t="shared" si="0"/>
        <v>-0.25</v>
      </c>
      <c r="H17" s="48"/>
      <c r="I17" s="48"/>
      <c r="J17" s="48"/>
    </row>
    <row r="18" spans="1:10" s="33" customFormat="1" ht="15.75" x14ac:dyDescent="0.25">
      <c r="A18" s="29">
        <v>46153</v>
      </c>
      <c r="B18" s="30" t="s">
        <v>16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33" customFormat="1" x14ac:dyDescent="0.25">
      <c r="A19" s="29">
        <v>46154</v>
      </c>
      <c r="B19" s="30" t="s">
        <v>17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33" customFormat="1" x14ac:dyDescent="0.25">
      <c r="A20" s="29">
        <v>46155</v>
      </c>
      <c r="B20" s="30" t="s">
        <v>18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33" customFormat="1" x14ac:dyDescent="0.25">
      <c r="A21" s="29">
        <v>46156</v>
      </c>
      <c r="B21" s="30" t="s">
        <v>19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46157</v>
      </c>
      <c r="B22" s="30" t="s">
        <v>20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49" customFormat="1" x14ac:dyDescent="0.25">
      <c r="A23" s="45">
        <v>46158</v>
      </c>
      <c r="B23" s="46" t="s">
        <v>21</v>
      </c>
      <c r="C23" s="47"/>
      <c r="D23" s="47"/>
      <c r="E23" s="47"/>
      <c r="F23" s="47"/>
      <c r="G23" s="32">
        <f t="shared" si="0"/>
        <v>-0.25</v>
      </c>
      <c r="H23" s="48"/>
      <c r="I23" s="48"/>
      <c r="J23" s="48"/>
    </row>
    <row r="24" spans="1:10" s="49" customFormat="1" x14ac:dyDescent="0.25">
      <c r="A24" s="45">
        <v>46159</v>
      </c>
      <c r="B24" s="46" t="s">
        <v>15</v>
      </c>
      <c r="C24" s="47"/>
      <c r="D24" s="47"/>
      <c r="E24" s="47"/>
      <c r="F24" s="47"/>
      <c r="G24" s="32">
        <f t="shared" si="0"/>
        <v>-0.25</v>
      </c>
      <c r="H24" s="48"/>
      <c r="I24" s="48"/>
      <c r="J24" s="48"/>
    </row>
    <row r="25" spans="1:10" s="33" customFormat="1" x14ac:dyDescent="0.25">
      <c r="A25" s="29">
        <v>46160</v>
      </c>
      <c r="B25" s="30" t="s">
        <v>16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33" customFormat="1" x14ac:dyDescent="0.25">
      <c r="A26" s="29">
        <v>46161</v>
      </c>
      <c r="B26" s="30" t="s">
        <v>17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33" customFormat="1" x14ac:dyDescent="0.25">
      <c r="A27" s="29">
        <v>46162</v>
      </c>
      <c r="B27" s="30" t="s">
        <v>18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33" customFormat="1" x14ac:dyDescent="0.25">
      <c r="A28" s="29">
        <v>46163</v>
      </c>
      <c r="B28" s="30" t="s">
        <v>19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33" customFormat="1" x14ac:dyDescent="0.25">
      <c r="A29" s="29">
        <v>46164</v>
      </c>
      <c r="B29" s="30" t="s">
        <v>20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49" customFormat="1" x14ac:dyDescent="0.25">
      <c r="A30" s="45">
        <v>46165</v>
      </c>
      <c r="B30" s="46" t="s">
        <v>21</v>
      </c>
      <c r="C30" s="47"/>
      <c r="D30" s="47"/>
      <c r="E30" s="47"/>
      <c r="F30" s="47"/>
      <c r="G30" s="32">
        <f t="shared" si="0"/>
        <v>-0.25</v>
      </c>
      <c r="H30" s="52"/>
      <c r="I30" s="52"/>
      <c r="J30" s="52"/>
    </row>
    <row r="31" spans="1:10" s="49" customFormat="1" ht="15.75" x14ac:dyDescent="0.25">
      <c r="A31" s="45">
        <v>46166</v>
      </c>
      <c r="B31" s="46" t="s">
        <v>15</v>
      </c>
      <c r="C31" s="47"/>
      <c r="D31" s="47"/>
      <c r="E31" s="47"/>
      <c r="F31" s="47"/>
      <c r="G31" s="32">
        <f t="shared" si="0"/>
        <v>-0.25</v>
      </c>
      <c r="H31" s="51"/>
      <c r="I31" s="52"/>
      <c r="J31" s="52"/>
    </row>
    <row r="32" spans="1:10" s="33" customFormat="1" x14ac:dyDescent="0.25">
      <c r="A32" s="29">
        <v>46167</v>
      </c>
      <c r="B32" s="30" t="s">
        <v>16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33" customFormat="1" x14ac:dyDescent="0.25">
      <c r="A33" s="29">
        <v>46168</v>
      </c>
      <c r="B33" s="30" t="s">
        <v>17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46169</v>
      </c>
      <c r="B34" s="30" t="s">
        <v>18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33" customFormat="1" x14ac:dyDescent="0.25">
      <c r="A35" s="29">
        <v>46170</v>
      </c>
      <c r="B35" s="30" t="s">
        <v>19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ht="15.75" x14ac:dyDescent="0.25">
      <c r="A36" s="29">
        <v>46171</v>
      </c>
      <c r="B36" s="30" t="s">
        <v>20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49" customFormat="1" x14ac:dyDescent="0.25">
      <c r="A37" s="45">
        <v>46172</v>
      </c>
      <c r="B37" s="46" t="s">
        <v>21</v>
      </c>
      <c r="C37" s="47"/>
      <c r="D37" s="47"/>
      <c r="E37" s="47"/>
      <c r="F37" s="47"/>
      <c r="G37" s="32">
        <f t="shared" si="0"/>
        <v>-0.25</v>
      </c>
      <c r="H37" s="48"/>
      <c r="I37" s="52"/>
      <c r="J37" s="52"/>
    </row>
    <row r="38" spans="1:10" s="49" customFormat="1" x14ac:dyDescent="0.25">
      <c r="A38" s="45">
        <v>46173</v>
      </c>
      <c r="B38" s="46" t="s">
        <v>15</v>
      </c>
      <c r="C38" s="53"/>
      <c r="D38" s="53"/>
      <c r="E38" s="53"/>
      <c r="F38" s="53"/>
      <c r="G38" s="32">
        <f t="shared" si="0"/>
        <v>-0.25</v>
      </c>
      <c r="H38" s="52"/>
      <c r="I38" s="52"/>
      <c r="J38" s="52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424C-D53F-43ED-A415-21542C3BC79A}">
  <dimension ref="A1:J999"/>
  <sheetViews>
    <sheetView workbookViewId="0">
      <selection activeCell="G8" sqref="G8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32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46174</v>
      </c>
      <c r="B8" s="30" t="s">
        <v>16</v>
      </c>
      <c r="C8" s="31"/>
      <c r="D8" s="31"/>
      <c r="E8" s="31"/>
      <c r="F8" s="31"/>
      <c r="G8" s="32">
        <f>SUM((F8-E8)+(D8-C8))-"6:00"</f>
        <v>-0.25</v>
      </c>
      <c r="H8" s="32"/>
      <c r="I8" s="32"/>
      <c r="J8" s="32"/>
    </row>
    <row r="9" spans="1:10" s="33" customFormat="1" x14ac:dyDescent="0.25">
      <c r="A9" s="29">
        <v>46175</v>
      </c>
      <c r="B9" s="30" t="s">
        <v>17</v>
      </c>
      <c r="C9" s="31"/>
      <c r="D9" s="34"/>
      <c r="E9" s="31"/>
      <c r="F9" s="31"/>
      <c r="G9" s="32">
        <f t="shared" ref="G9:G38" si="0">SUM((F9-E9)+(D9-C9))-"6:00"</f>
        <v>-0.25</v>
      </c>
      <c r="H9" s="35"/>
      <c r="I9" s="36"/>
      <c r="J9" s="36"/>
    </row>
    <row r="10" spans="1:10" s="33" customFormat="1" x14ac:dyDescent="0.25">
      <c r="A10" s="29">
        <v>46176</v>
      </c>
      <c r="B10" s="30" t="s">
        <v>18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49" customFormat="1" x14ac:dyDescent="0.25">
      <c r="A11" s="45">
        <v>46177</v>
      </c>
      <c r="B11" s="46" t="s">
        <v>19</v>
      </c>
      <c r="C11" s="47"/>
      <c r="D11" s="47"/>
      <c r="E11" s="47"/>
      <c r="F11" s="47"/>
      <c r="G11" s="32">
        <f t="shared" si="0"/>
        <v>-0.25</v>
      </c>
      <c r="H11" s="48" t="s">
        <v>29</v>
      </c>
      <c r="I11" s="48"/>
      <c r="J11" s="48"/>
    </row>
    <row r="12" spans="1:10" s="33" customFormat="1" x14ac:dyDescent="0.25">
      <c r="A12" s="29">
        <v>46178</v>
      </c>
      <c r="B12" s="30" t="s">
        <v>20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49" customFormat="1" x14ac:dyDescent="0.25">
      <c r="A13" s="45">
        <v>46179</v>
      </c>
      <c r="B13" s="46" t="s">
        <v>21</v>
      </c>
      <c r="C13" s="54"/>
      <c r="D13" s="54"/>
      <c r="E13" s="54"/>
      <c r="F13" s="54"/>
      <c r="G13" s="32">
        <f t="shared" si="0"/>
        <v>-0.25</v>
      </c>
      <c r="H13" s="48"/>
      <c r="I13" s="56"/>
      <c r="J13" s="56"/>
    </row>
    <row r="14" spans="1:10" s="49" customFormat="1" x14ac:dyDescent="0.25">
      <c r="A14" s="45">
        <v>46180</v>
      </c>
      <c r="B14" s="46" t="s">
        <v>15</v>
      </c>
      <c r="C14" s="47"/>
      <c r="D14" s="47"/>
      <c r="E14" s="47"/>
      <c r="F14" s="47"/>
      <c r="G14" s="32">
        <f t="shared" si="0"/>
        <v>-0.25</v>
      </c>
      <c r="H14" s="48"/>
      <c r="I14" s="48"/>
      <c r="J14" s="48"/>
    </row>
    <row r="15" spans="1:10" s="33" customFormat="1" x14ac:dyDescent="0.25">
      <c r="A15" s="29">
        <v>46181</v>
      </c>
      <c r="B15" s="30" t="s">
        <v>16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46182</v>
      </c>
      <c r="B16" s="30" t="s">
        <v>17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46183</v>
      </c>
      <c r="B17" s="30" t="s">
        <v>18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46184</v>
      </c>
      <c r="B18" s="30" t="s">
        <v>19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33" customFormat="1" x14ac:dyDescent="0.25">
      <c r="A19" s="29">
        <v>46185</v>
      </c>
      <c r="B19" s="30" t="s">
        <v>20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49" customFormat="1" x14ac:dyDescent="0.25">
      <c r="A20" s="45">
        <v>46186</v>
      </c>
      <c r="B20" s="46" t="s">
        <v>21</v>
      </c>
      <c r="C20" s="47"/>
      <c r="D20" s="47"/>
      <c r="E20" s="47"/>
      <c r="F20" s="47"/>
      <c r="G20" s="32">
        <f t="shared" si="0"/>
        <v>-0.25</v>
      </c>
      <c r="H20" s="48"/>
      <c r="I20" s="48"/>
      <c r="J20" s="48"/>
    </row>
    <row r="21" spans="1:10" s="49" customFormat="1" x14ac:dyDescent="0.25">
      <c r="A21" s="45">
        <v>46187</v>
      </c>
      <c r="B21" s="46" t="s">
        <v>15</v>
      </c>
      <c r="C21" s="47"/>
      <c r="D21" s="47"/>
      <c r="E21" s="47"/>
      <c r="F21" s="47"/>
      <c r="G21" s="32">
        <f t="shared" si="0"/>
        <v>-0.25</v>
      </c>
      <c r="H21" s="48"/>
      <c r="I21" s="48"/>
      <c r="J21" s="48"/>
    </row>
    <row r="22" spans="1:10" s="33" customFormat="1" x14ac:dyDescent="0.25">
      <c r="A22" s="29">
        <v>46188</v>
      </c>
      <c r="B22" s="30" t="s">
        <v>16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46189</v>
      </c>
      <c r="B23" s="30" t="s">
        <v>17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46190</v>
      </c>
      <c r="B24" s="30" t="s">
        <v>18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46191</v>
      </c>
      <c r="B25" s="30" t="s">
        <v>19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33" customFormat="1" x14ac:dyDescent="0.25">
      <c r="A26" s="29">
        <v>46192</v>
      </c>
      <c r="B26" s="30" t="s">
        <v>20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49" customFormat="1" x14ac:dyDescent="0.25">
      <c r="A27" s="45">
        <v>46193</v>
      </c>
      <c r="B27" s="46" t="s">
        <v>21</v>
      </c>
      <c r="C27" s="53"/>
      <c r="D27" s="53"/>
      <c r="E27" s="53"/>
      <c r="F27" s="53"/>
      <c r="G27" s="32">
        <f t="shared" si="0"/>
        <v>-0.25</v>
      </c>
      <c r="H27" s="52"/>
      <c r="I27" s="52"/>
      <c r="J27" s="52"/>
    </row>
    <row r="28" spans="1:10" s="49" customFormat="1" x14ac:dyDescent="0.25">
      <c r="A28" s="45">
        <v>46194</v>
      </c>
      <c r="B28" s="46" t="s">
        <v>15</v>
      </c>
      <c r="C28" s="47"/>
      <c r="D28" s="47"/>
      <c r="E28" s="47"/>
      <c r="F28" s="47"/>
      <c r="G28" s="32">
        <f t="shared" si="0"/>
        <v>-0.25</v>
      </c>
      <c r="H28" s="48"/>
      <c r="I28" s="48"/>
      <c r="J28" s="48"/>
    </row>
    <row r="29" spans="1:10" s="33" customFormat="1" x14ac:dyDescent="0.25">
      <c r="A29" s="29">
        <v>46195</v>
      </c>
      <c r="B29" s="30" t="s">
        <v>16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46196</v>
      </c>
      <c r="B30" s="30" t="s">
        <v>17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46197</v>
      </c>
      <c r="B31" s="30" t="s">
        <v>18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33" customFormat="1" x14ac:dyDescent="0.25">
      <c r="A32" s="29">
        <v>46198</v>
      </c>
      <c r="B32" s="30" t="s">
        <v>19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33" customFormat="1" x14ac:dyDescent="0.25">
      <c r="A33" s="29">
        <v>46199</v>
      </c>
      <c r="B33" s="30" t="s">
        <v>20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49" customFormat="1" x14ac:dyDescent="0.25">
      <c r="A34" s="45">
        <v>46200</v>
      </c>
      <c r="B34" s="46" t="s">
        <v>21</v>
      </c>
      <c r="C34" s="53"/>
      <c r="D34" s="53"/>
      <c r="E34" s="53"/>
      <c r="F34" s="53"/>
      <c r="G34" s="32">
        <f t="shared" si="0"/>
        <v>-0.25</v>
      </c>
      <c r="H34" s="52"/>
      <c r="I34" s="52"/>
      <c r="J34" s="52"/>
    </row>
    <row r="35" spans="1:10" s="49" customFormat="1" x14ac:dyDescent="0.25">
      <c r="A35" s="45">
        <v>46201</v>
      </c>
      <c r="B35" s="46" t="s">
        <v>15</v>
      </c>
      <c r="C35" s="53"/>
      <c r="D35" s="53"/>
      <c r="E35" s="53"/>
      <c r="F35" s="53"/>
      <c r="G35" s="32">
        <f t="shared" si="0"/>
        <v>-0.25</v>
      </c>
      <c r="H35" s="52"/>
      <c r="I35" s="52"/>
      <c r="J35" s="52"/>
    </row>
    <row r="36" spans="1:10" s="33" customFormat="1" ht="15.75" x14ac:dyDescent="0.25">
      <c r="A36" s="29">
        <v>46202</v>
      </c>
      <c r="B36" s="30" t="s">
        <v>16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33" customFormat="1" x14ac:dyDescent="0.25">
      <c r="A37" s="29">
        <v>46203</v>
      </c>
      <c r="B37" s="30" t="s">
        <v>17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/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898C-DD6D-4A27-97C3-763A92D4FFBD}">
  <dimension ref="A1:J999"/>
  <sheetViews>
    <sheetView workbookViewId="0">
      <selection activeCell="G8" sqref="G8:G38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33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46204</v>
      </c>
      <c r="B8" s="30" t="s">
        <v>18</v>
      </c>
      <c r="C8" s="31"/>
      <c r="D8" s="31"/>
      <c r="E8" s="31"/>
      <c r="F8" s="31"/>
      <c r="G8" s="32">
        <f>SUM((F8-E8)+(D8-C8))-"6:00"</f>
        <v>-0.25</v>
      </c>
      <c r="H8" s="32"/>
      <c r="I8" s="32"/>
      <c r="J8" s="32"/>
    </row>
    <row r="9" spans="1:10" s="33" customFormat="1" x14ac:dyDescent="0.25">
      <c r="A9" s="29">
        <v>46205</v>
      </c>
      <c r="B9" s="30" t="s">
        <v>19</v>
      </c>
      <c r="C9" s="31"/>
      <c r="D9" s="34"/>
      <c r="E9" s="31"/>
      <c r="F9" s="31"/>
      <c r="G9" s="32">
        <f t="shared" ref="G9:G38" si="0">SUM((F9-E9)+(D9-C9))-"6:00"</f>
        <v>-0.25</v>
      </c>
      <c r="H9" s="35"/>
      <c r="I9" s="36"/>
      <c r="J9" s="36"/>
    </row>
    <row r="10" spans="1:10" s="33" customFormat="1" x14ac:dyDescent="0.25">
      <c r="A10" s="29">
        <v>46206</v>
      </c>
      <c r="B10" s="30" t="s">
        <v>20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49" customFormat="1" x14ac:dyDescent="0.25">
      <c r="A11" s="45">
        <v>46207</v>
      </c>
      <c r="B11" s="46" t="s">
        <v>21</v>
      </c>
      <c r="C11" s="47"/>
      <c r="D11" s="47"/>
      <c r="E11" s="47"/>
      <c r="F11" s="47"/>
      <c r="G11" s="32">
        <f t="shared" si="0"/>
        <v>-0.25</v>
      </c>
      <c r="H11" s="48"/>
      <c r="I11" s="48"/>
      <c r="J11" s="48"/>
    </row>
    <row r="12" spans="1:10" s="49" customFormat="1" x14ac:dyDescent="0.25">
      <c r="A12" s="45">
        <v>46208</v>
      </c>
      <c r="B12" s="46" t="s">
        <v>15</v>
      </c>
      <c r="C12" s="47"/>
      <c r="D12" s="47"/>
      <c r="E12" s="47"/>
      <c r="F12" s="47"/>
      <c r="G12" s="32">
        <f t="shared" si="0"/>
        <v>-0.25</v>
      </c>
      <c r="H12" s="48"/>
      <c r="I12" s="48"/>
      <c r="J12" s="48"/>
    </row>
    <row r="13" spans="1:10" s="33" customFormat="1" x14ac:dyDescent="0.25">
      <c r="A13" s="29">
        <v>46209</v>
      </c>
      <c r="B13" s="30" t="s">
        <v>16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33" customFormat="1" x14ac:dyDescent="0.25">
      <c r="A14" s="29">
        <v>46210</v>
      </c>
      <c r="B14" s="30" t="s">
        <v>17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33" customFormat="1" x14ac:dyDescent="0.25">
      <c r="A15" s="29">
        <v>46211</v>
      </c>
      <c r="B15" s="30" t="s">
        <v>18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46212</v>
      </c>
      <c r="B16" s="30" t="s">
        <v>19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46213</v>
      </c>
      <c r="B17" s="30" t="s">
        <v>20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49" customFormat="1" ht="15.75" x14ac:dyDescent="0.25">
      <c r="A18" s="45">
        <v>46214</v>
      </c>
      <c r="B18" s="46" t="s">
        <v>21</v>
      </c>
      <c r="C18" s="47"/>
      <c r="D18" s="47"/>
      <c r="E18" s="47"/>
      <c r="F18" s="47"/>
      <c r="G18" s="32">
        <f t="shared" si="0"/>
        <v>-0.25</v>
      </c>
      <c r="H18" s="50"/>
      <c r="I18" s="48"/>
      <c r="J18" s="48"/>
    </row>
    <row r="19" spans="1:10" s="49" customFormat="1" x14ac:dyDescent="0.25">
      <c r="A19" s="45">
        <v>46215</v>
      </c>
      <c r="B19" s="46" t="s">
        <v>15</v>
      </c>
      <c r="C19" s="47"/>
      <c r="D19" s="47"/>
      <c r="E19" s="47"/>
      <c r="F19" s="47"/>
      <c r="G19" s="32">
        <f t="shared" si="0"/>
        <v>-0.25</v>
      </c>
      <c r="H19" s="48"/>
      <c r="I19" s="48"/>
      <c r="J19" s="48"/>
    </row>
    <row r="20" spans="1:10" s="33" customFormat="1" x14ac:dyDescent="0.25">
      <c r="A20" s="29">
        <v>46216</v>
      </c>
      <c r="B20" s="30" t="s">
        <v>16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33" customFormat="1" x14ac:dyDescent="0.25">
      <c r="A21" s="29">
        <v>46217</v>
      </c>
      <c r="B21" s="30" t="s">
        <v>17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46218</v>
      </c>
      <c r="B22" s="30" t="s">
        <v>18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46219</v>
      </c>
      <c r="B23" s="30" t="s">
        <v>19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46220</v>
      </c>
      <c r="B24" s="30" t="s">
        <v>20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49" customFormat="1" x14ac:dyDescent="0.25">
      <c r="A25" s="45">
        <v>46221</v>
      </c>
      <c r="B25" s="46" t="s">
        <v>21</v>
      </c>
      <c r="C25" s="47"/>
      <c r="D25" s="47"/>
      <c r="E25" s="47"/>
      <c r="F25" s="47"/>
      <c r="G25" s="32">
        <f t="shared" si="0"/>
        <v>-0.25</v>
      </c>
      <c r="H25" s="48"/>
      <c r="I25" s="48"/>
      <c r="J25" s="48"/>
    </row>
    <row r="26" spans="1:10" s="49" customFormat="1" x14ac:dyDescent="0.25">
      <c r="A26" s="45">
        <v>46222</v>
      </c>
      <c r="B26" s="46" t="s">
        <v>15</v>
      </c>
      <c r="C26" s="47"/>
      <c r="D26" s="47"/>
      <c r="E26" s="47"/>
      <c r="F26" s="47"/>
      <c r="G26" s="32">
        <f t="shared" si="0"/>
        <v>-0.25</v>
      </c>
      <c r="H26" s="48"/>
      <c r="I26" s="48"/>
      <c r="J26" s="48"/>
    </row>
    <row r="27" spans="1:10" s="33" customFormat="1" x14ac:dyDescent="0.25">
      <c r="A27" s="29">
        <v>46223</v>
      </c>
      <c r="B27" s="30" t="s">
        <v>16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33" customFormat="1" x14ac:dyDescent="0.25">
      <c r="A28" s="29">
        <v>46224</v>
      </c>
      <c r="B28" s="30" t="s">
        <v>17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33" customFormat="1" x14ac:dyDescent="0.25">
      <c r="A29" s="29">
        <v>46225</v>
      </c>
      <c r="B29" s="30" t="s">
        <v>18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46226</v>
      </c>
      <c r="B30" s="30" t="s">
        <v>19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46227</v>
      </c>
      <c r="B31" s="30" t="s">
        <v>20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49" customFormat="1" x14ac:dyDescent="0.25">
      <c r="A32" s="45">
        <v>46228</v>
      </c>
      <c r="B32" s="46" t="s">
        <v>21</v>
      </c>
      <c r="C32" s="47"/>
      <c r="D32" s="47"/>
      <c r="E32" s="47"/>
      <c r="F32" s="47"/>
      <c r="G32" s="32">
        <f t="shared" si="0"/>
        <v>-0.25</v>
      </c>
      <c r="H32" s="52"/>
      <c r="I32" s="52"/>
      <c r="J32" s="52"/>
    </row>
    <row r="33" spans="1:10" s="49" customFormat="1" x14ac:dyDescent="0.25">
      <c r="A33" s="45">
        <v>46229</v>
      </c>
      <c r="B33" s="46" t="s">
        <v>15</v>
      </c>
      <c r="C33" s="47"/>
      <c r="D33" s="47"/>
      <c r="E33" s="47"/>
      <c r="F33" s="47"/>
      <c r="G33" s="32">
        <f t="shared" si="0"/>
        <v>-0.25</v>
      </c>
      <c r="H33" s="52"/>
      <c r="I33" s="52"/>
      <c r="J33" s="52"/>
    </row>
    <row r="34" spans="1:10" s="33" customFormat="1" x14ac:dyDescent="0.25">
      <c r="A34" s="29">
        <v>46230</v>
      </c>
      <c r="B34" s="30" t="s">
        <v>16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33" customFormat="1" x14ac:dyDescent="0.25">
      <c r="A35" s="29">
        <v>46231</v>
      </c>
      <c r="B35" s="30" t="s">
        <v>17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ht="15.75" x14ac:dyDescent="0.25">
      <c r="A36" s="29">
        <v>46232</v>
      </c>
      <c r="B36" s="30" t="s">
        <v>18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33" customFormat="1" x14ac:dyDescent="0.25">
      <c r="A37" s="29">
        <v>46233</v>
      </c>
      <c r="B37" s="30" t="s">
        <v>19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>
        <v>46234</v>
      </c>
      <c r="B38" s="30" t="s">
        <v>20</v>
      </c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3752-73B4-4F4E-8882-8366900C879B}">
  <dimension ref="A1:J999"/>
  <sheetViews>
    <sheetView workbookViewId="0">
      <selection activeCell="G8" sqref="G8:G38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34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49" customFormat="1" x14ac:dyDescent="0.25">
      <c r="A8" s="45">
        <v>46235</v>
      </c>
      <c r="B8" s="46" t="s">
        <v>21</v>
      </c>
      <c r="C8" s="47"/>
      <c r="D8" s="47"/>
      <c r="E8" s="47"/>
      <c r="F8" s="47"/>
      <c r="G8" s="32">
        <f>SUM((F8-E8)+(D8-C8))-"6:00"</f>
        <v>-0.25</v>
      </c>
      <c r="H8" s="48"/>
      <c r="I8" s="48"/>
      <c r="J8" s="48"/>
    </row>
    <row r="9" spans="1:10" s="49" customFormat="1" x14ac:dyDescent="0.25">
      <c r="A9" s="45">
        <v>46236</v>
      </c>
      <c r="B9" s="46" t="s">
        <v>15</v>
      </c>
      <c r="C9" s="47"/>
      <c r="D9" s="54"/>
      <c r="E9" s="47"/>
      <c r="F9" s="47"/>
      <c r="G9" s="32">
        <f t="shared" ref="G9:G38" si="0">SUM((F9-E9)+(D9-C9))-"6:00"</f>
        <v>-0.25</v>
      </c>
      <c r="H9" s="55"/>
      <c r="I9" s="56"/>
      <c r="J9" s="56"/>
    </row>
    <row r="10" spans="1:10" s="33" customFormat="1" x14ac:dyDescent="0.25">
      <c r="A10" s="29">
        <v>46237</v>
      </c>
      <c r="B10" s="30" t="s">
        <v>16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33" customFormat="1" x14ac:dyDescent="0.25">
      <c r="A11" s="29">
        <v>46238</v>
      </c>
      <c r="B11" s="30" t="s">
        <v>17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33" customFormat="1" x14ac:dyDescent="0.25">
      <c r="A12" s="29">
        <v>46239</v>
      </c>
      <c r="B12" s="30" t="s">
        <v>18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46240</v>
      </c>
      <c r="B13" s="30" t="s">
        <v>19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33" customFormat="1" x14ac:dyDescent="0.25">
      <c r="A14" s="29">
        <v>46241</v>
      </c>
      <c r="B14" s="30" t="s">
        <v>20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49" customFormat="1" x14ac:dyDescent="0.25">
      <c r="A15" s="45">
        <v>46242</v>
      </c>
      <c r="B15" s="46" t="s">
        <v>21</v>
      </c>
      <c r="C15" s="47"/>
      <c r="D15" s="47"/>
      <c r="E15" s="47"/>
      <c r="F15" s="47"/>
      <c r="G15" s="32">
        <f t="shared" si="0"/>
        <v>-0.25</v>
      </c>
      <c r="H15" s="48"/>
      <c r="I15" s="48"/>
      <c r="J15" s="48"/>
    </row>
    <row r="16" spans="1:10" s="49" customFormat="1" x14ac:dyDescent="0.25">
      <c r="A16" s="45">
        <v>46243</v>
      </c>
      <c r="B16" s="46" t="s">
        <v>15</v>
      </c>
      <c r="C16" s="47"/>
      <c r="D16" s="47"/>
      <c r="E16" s="47"/>
      <c r="F16" s="47"/>
      <c r="G16" s="32">
        <f t="shared" si="0"/>
        <v>-0.25</v>
      </c>
      <c r="H16" s="57"/>
      <c r="I16" s="57"/>
      <c r="J16" s="57"/>
    </row>
    <row r="17" spans="1:10" s="33" customFormat="1" x14ac:dyDescent="0.25">
      <c r="A17" s="29">
        <v>46244</v>
      </c>
      <c r="B17" s="30" t="s">
        <v>16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46245</v>
      </c>
      <c r="B18" s="30" t="s">
        <v>17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33" customFormat="1" x14ac:dyDescent="0.25">
      <c r="A19" s="29">
        <v>46246</v>
      </c>
      <c r="B19" s="30" t="s">
        <v>18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33" customFormat="1" x14ac:dyDescent="0.25">
      <c r="A20" s="29">
        <v>46247</v>
      </c>
      <c r="B20" s="30" t="s">
        <v>19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33" customFormat="1" x14ac:dyDescent="0.25">
      <c r="A21" s="29">
        <v>46248</v>
      </c>
      <c r="B21" s="30" t="s">
        <v>20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49" customFormat="1" x14ac:dyDescent="0.25">
      <c r="A22" s="45">
        <v>46249</v>
      </c>
      <c r="B22" s="46" t="s">
        <v>21</v>
      </c>
      <c r="C22" s="47"/>
      <c r="D22" s="47"/>
      <c r="E22" s="47"/>
      <c r="F22" s="47"/>
      <c r="G22" s="32">
        <f t="shared" si="0"/>
        <v>-0.25</v>
      </c>
      <c r="H22" s="48"/>
      <c r="I22" s="48"/>
      <c r="J22" s="48"/>
    </row>
    <row r="23" spans="1:10" s="49" customFormat="1" x14ac:dyDescent="0.25">
      <c r="A23" s="45">
        <v>46250</v>
      </c>
      <c r="B23" s="46" t="s">
        <v>15</v>
      </c>
      <c r="C23" s="47"/>
      <c r="D23" s="47"/>
      <c r="E23" s="47"/>
      <c r="F23" s="47"/>
      <c r="G23" s="32">
        <f t="shared" si="0"/>
        <v>-0.25</v>
      </c>
      <c r="H23" s="48"/>
      <c r="I23" s="48"/>
      <c r="J23" s="48"/>
    </row>
    <row r="24" spans="1:10" s="33" customFormat="1" x14ac:dyDescent="0.25">
      <c r="A24" s="29">
        <v>46251</v>
      </c>
      <c r="B24" s="30" t="s">
        <v>16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46252</v>
      </c>
      <c r="B25" s="30" t="s">
        <v>17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33" customFormat="1" x14ac:dyDescent="0.25">
      <c r="A26" s="29">
        <v>46253</v>
      </c>
      <c r="B26" s="30" t="s">
        <v>18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33" customFormat="1" x14ac:dyDescent="0.25">
      <c r="A27" s="29">
        <v>46254</v>
      </c>
      <c r="B27" s="30" t="s">
        <v>19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33" customFormat="1" x14ac:dyDescent="0.25">
      <c r="A28" s="29">
        <v>46255</v>
      </c>
      <c r="B28" s="30" t="s">
        <v>20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49" customFormat="1" ht="15.75" customHeight="1" x14ac:dyDescent="0.25">
      <c r="A29" s="45">
        <v>46256</v>
      </c>
      <c r="B29" s="46" t="s">
        <v>21</v>
      </c>
      <c r="C29" s="47"/>
      <c r="D29" s="47"/>
      <c r="E29" s="47"/>
      <c r="F29" s="47"/>
      <c r="G29" s="32">
        <f t="shared" si="0"/>
        <v>-0.25</v>
      </c>
      <c r="H29" s="48"/>
      <c r="I29" s="48"/>
      <c r="J29" s="48"/>
    </row>
    <row r="30" spans="1:10" s="49" customFormat="1" ht="14.25" customHeight="1" x14ac:dyDescent="0.25">
      <c r="A30" s="45">
        <v>46257</v>
      </c>
      <c r="B30" s="46" t="s">
        <v>15</v>
      </c>
      <c r="C30" s="47"/>
      <c r="D30" s="47"/>
      <c r="E30" s="47"/>
      <c r="F30" s="47"/>
      <c r="G30" s="32">
        <f t="shared" si="0"/>
        <v>-0.25</v>
      </c>
      <c r="H30" s="52"/>
      <c r="I30" s="52"/>
      <c r="J30" s="52"/>
    </row>
    <row r="31" spans="1:10" s="33" customFormat="1" ht="15.75" x14ac:dyDescent="0.25">
      <c r="A31" s="29">
        <v>46258</v>
      </c>
      <c r="B31" s="30" t="s">
        <v>16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33" customFormat="1" x14ac:dyDescent="0.25">
      <c r="A32" s="29">
        <v>46259</v>
      </c>
      <c r="B32" s="30" t="s">
        <v>17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33" customFormat="1" x14ac:dyDescent="0.25">
      <c r="A33" s="29">
        <v>46260</v>
      </c>
      <c r="B33" s="30" t="s">
        <v>18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46261</v>
      </c>
      <c r="B34" s="30" t="s">
        <v>19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33" customFormat="1" x14ac:dyDescent="0.25">
      <c r="A35" s="29">
        <v>46262</v>
      </c>
      <c r="B35" s="30" t="s">
        <v>20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49" customFormat="1" ht="15.75" x14ac:dyDescent="0.25">
      <c r="A36" s="45">
        <v>46263</v>
      </c>
      <c r="B36" s="46" t="s">
        <v>21</v>
      </c>
      <c r="C36" s="47"/>
      <c r="D36" s="47"/>
      <c r="E36" s="47"/>
      <c r="F36" s="47"/>
      <c r="G36" s="32">
        <f t="shared" si="0"/>
        <v>-0.25</v>
      </c>
      <c r="H36" s="51"/>
      <c r="I36" s="52"/>
      <c r="J36" s="52"/>
    </row>
    <row r="37" spans="1:10" s="49" customFormat="1" x14ac:dyDescent="0.25">
      <c r="A37" s="45">
        <v>46264</v>
      </c>
      <c r="B37" s="46" t="s">
        <v>15</v>
      </c>
      <c r="C37" s="47"/>
      <c r="D37" s="47"/>
      <c r="E37" s="47"/>
      <c r="F37" s="47"/>
      <c r="G37" s="32">
        <f t="shared" si="0"/>
        <v>-0.25</v>
      </c>
      <c r="H37" s="52"/>
      <c r="I37" s="52"/>
      <c r="J37" s="52"/>
    </row>
    <row r="38" spans="1:10" s="33" customFormat="1" x14ac:dyDescent="0.25">
      <c r="A38" s="29">
        <v>46265</v>
      </c>
      <c r="B38" s="30" t="s">
        <v>16</v>
      </c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82F0-9BD8-427F-B928-F805E7A0F51B}">
  <dimension ref="A1:J999"/>
  <sheetViews>
    <sheetView workbookViewId="0">
      <selection activeCell="G8" sqref="G8:G38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35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46266</v>
      </c>
      <c r="B8" s="30" t="s">
        <v>17</v>
      </c>
      <c r="C8" s="31"/>
      <c r="D8" s="31"/>
      <c r="E8" s="31"/>
      <c r="F8" s="31"/>
      <c r="G8" s="32">
        <f>SUM((F8-E8)+(D8-C8))-"6:00"</f>
        <v>-0.25</v>
      </c>
      <c r="H8" s="32"/>
      <c r="I8" s="32"/>
      <c r="J8" s="32"/>
    </row>
    <row r="9" spans="1:10" s="49" customFormat="1" x14ac:dyDescent="0.25">
      <c r="A9" s="45">
        <v>46267</v>
      </c>
      <c r="B9" s="46" t="s">
        <v>18</v>
      </c>
      <c r="C9" s="47"/>
      <c r="D9" s="54"/>
      <c r="E9" s="47"/>
      <c r="F9" s="47"/>
      <c r="G9" s="32">
        <f t="shared" ref="G9:G38" si="0">SUM((F9-E9)+(D9-C9))-"6:00"</f>
        <v>-0.25</v>
      </c>
      <c r="H9" s="48" t="s">
        <v>40</v>
      </c>
      <c r="I9" s="56"/>
      <c r="J9" s="56"/>
    </row>
    <row r="10" spans="1:10" s="33" customFormat="1" x14ac:dyDescent="0.25">
      <c r="A10" s="29">
        <v>46268</v>
      </c>
      <c r="B10" s="30" t="s">
        <v>19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33" customFormat="1" x14ac:dyDescent="0.25">
      <c r="A11" s="29">
        <v>46269</v>
      </c>
      <c r="B11" s="30" t="s">
        <v>20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49" customFormat="1" x14ac:dyDescent="0.25">
      <c r="A12" s="45">
        <v>46270</v>
      </c>
      <c r="B12" s="46" t="s">
        <v>21</v>
      </c>
      <c r="C12" s="47"/>
      <c r="D12" s="47"/>
      <c r="E12" s="47"/>
      <c r="F12" s="47"/>
      <c r="G12" s="32">
        <f t="shared" si="0"/>
        <v>-0.25</v>
      </c>
      <c r="H12" s="48"/>
      <c r="I12" s="48"/>
      <c r="J12" s="48"/>
    </row>
    <row r="13" spans="1:10" s="49" customFormat="1" x14ac:dyDescent="0.25">
      <c r="A13" s="45">
        <v>46271</v>
      </c>
      <c r="B13" s="46" t="s">
        <v>15</v>
      </c>
      <c r="C13" s="54"/>
      <c r="D13" s="54"/>
      <c r="E13" s="54"/>
      <c r="F13" s="54"/>
      <c r="G13" s="32">
        <f t="shared" si="0"/>
        <v>-0.25</v>
      </c>
      <c r="H13" s="48"/>
      <c r="I13" s="56"/>
      <c r="J13" s="56"/>
    </row>
    <row r="14" spans="1:10" s="49" customFormat="1" x14ac:dyDescent="0.25">
      <c r="A14" s="45">
        <v>46272</v>
      </c>
      <c r="B14" s="46" t="s">
        <v>16</v>
      </c>
      <c r="C14" s="47"/>
      <c r="D14" s="47"/>
      <c r="E14" s="47"/>
      <c r="F14" s="47"/>
      <c r="G14" s="32">
        <f t="shared" si="0"/>
        <v>-0.25</v>
      </c>
      <c r="H14" s="48" t="s">
        <v>29</v>
      </c>
      <c r="I14" s="48"/>
      <c r="J14" s="48"/>
    </row>
    <row r="15" spans="1:10" s="33" customFormat="1" x14ac:dyDescent="0.25">
      <c r="A15" s="29">
        <v>46273</v>
      </c>
      <c r="B15" s="30" t="s">
        <v>17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46274</v>
      </c>
      <c r="B16" s="30" t="s">
        <v>18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46275</v>
      </c>
      <c r="B17" s="30" t="s">
        <v>19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46276</v>
      </c>
      <c r="B18" s="30" t="s">
        <v>20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49" customFormat="1" x14ac:dyDescent="0.25">
      <c r="A19" s="45">
        <v>46277</v>
      </c>
      <c r="B19" s="46" t="s">
        <v>21</v>
      </c>
      <c r="C19" s="47"/>
      <c r="D19" s="47"/>
      <c r="E19" s="47"/>
      <c r="F19" s="47"/>
      <c r="G19" s="32">
        <f t="shared" si="0"/>
        <v>-0.25</v>
      </c>
      <c r="H19" s="48"/>
      <c r="I19" s="48"/>
      <c r="J19" s="48"/>
    </row>
    <row r="20" spans="1:10" s="49" customFormat="1" x14ac:dyDescent="0.25">
      <c r="A20" s="45">
        <v>46278</v>
      </c>
      <c r="B20" s="46" t="s">
        <v>15</v>
      </c>
      <c r="C20" s="47"/>
      <c r="D20" s="47"/>
      <c r="E20" s="47"/>
      <c r="F20" s="47"/>
      <c r="G20" s="32">
        <f t="shared" si="0"/>
        <v>-0.25</v>
      </c>
      <c r="H20" s="48"/>
      <c r="I20" s="48"/>
      <c r="J20" s="48"/>
    </row>
    <row r="21" spans="1:10" s="33" customFormat="1" x14ac:dyDescent="0.25">
      <c r="A21" s="29">
        <v>46279</v>
      </c>
      <c r="B21" s="30" t="s">
        <v>16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46280</v>
      </c>
      <c r="B22" s="30" t="s">
        <v>17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46281</v>
      </c>
      <c r="B23" s="30" t="s">
        <v>18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46282</v>
      </c>
      <c r="B24" s="30" t="s">
        <v>19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46283</v>
      </c>
      <c r="B25" s="30" t="s">
        <v>20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49" customFormat="1" x14ac:dyDescent="0.25">
      <c r="A26" s="45">
        <v>46284</v>
      </c>
      <c r="B26" s="46" t="s">
        <v>21</v>
      </c>
      <c r="C26" s="47"/>
      <c r="D26" s="47"/>
      <c r="E26" s="47"/>
      <c r="F26" s="47"/>
      <c r="G26" s="32">
        <f t="shared" si="0"/>
        <v>-0.25</v>
      </c>
      <c r="H26" s="48"/>
      <c r="I26" s="48"/>
      <c r="J26" s="48"/>
    </row>
    <row r="27" spans="1:10" s="49" customFormat="1" ht="14.25" customHeight="1" x14ac:dyDescent="0.25">
      <c r="A27" s="45">
        <v>46285</v>
      </c>
      <c r="B27" s="46" t="s">
        <v>15</v>
      </c>
      <c r="C27" s="53"/>
      <c r="D27" s="53"/>
      <c r="E27" s="53"/>
      <c r="F27" s="53"/>
      <c r="G27" s="32">
        <f t="shared" si="0"/>
        <v>-0.25</v>
      </c>
      <c r="H27" s="52"/>
      <c r="I27" s="52"/>
      <c r="J27" s="52"/>
    </row>
    <row r="28" spans="1:10" s="33" customFormat="1" x14ac:dyDescent="0.25">
      <c r="A28" s="29">
        <v>46286</v>
      </c>
      <c r="B28" s="30" t="s">
        <v>16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33" customFormat="1" x14ac:dyDescent="0.25">
      <c r="A29" s="29">
        <v>46287</v>
      </c>
      <c r="B29" s="30" t="s">
        <v>17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46288</v>
      </c>
      <c r="B30" s="30" t="s">
        <v>18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46289</v>
      </c>
      <c r="B31" s="30" t="s">
        <v>19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33" customFormat="1" x14ac:dyDescent="0.25">
      <c r="A32" s="29">
        <v>46290</v>
      </c>
      <c r="B32" s="30" t="s">
        <v>20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49" customFormat="1" x14ac:dyDescent="0.25">
      <c r="A33" s="45">
        <v>46291</v>
      </c>
      <c r="B33" s="46" t="s">
        <v>21</v>
      </c>
      <c r="C33" s="47"/>
      <c r="D33" s="47"/>
      <c r="E33" s="47"/>
      <c r="F33" s="47"/>
      <c r="G33" s="32">
        <f t="shared" si="0"/>
        <v>-0.25</v>
      </c>
      <c r="H33" s="52"/>
      <c r="I33" s="52"/>
      <c r="J33" s="52"/>
    </row>
    <row r="34" spans="1:10" s="49" customFormat="1" x14ac:dyDescent="0.25">
      <c r="A34" s="45">
        <v>46292</v>
      </c>
      <c r="B34" s="46" t="s">
        <v>15</v>
      </c>
      <c r="C34" s="53"/>
      <c r="D34" s="53"/>
      <c r="E34" s="53"/>
      <c r="F34" s="53"/>
      <c r="G34" s="32">
        <f t="shared" si="0"/>
        <v>-0.25</v>
      </c>
      <c r="H34" s="52"/>
      <c r="I34" s="52"/>
      <c r="J34" s="52"/>
    </row>
    <row r="35" spans="1:10" s="33" customFormat="1" x14ac:dyDescent="0.25">
      <c r="A35" s="29">
        <v>46293</v>
      </c>
      <c r="B35" s="30" t="s">
        <v>16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ht="15.75" x14ac:dyDescent="0.25">
      <c r="A36" s="29">
        <v>46294</v>
      </c>
      <c r="B36" s="30" t="s">
        <v>17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33" customFormat="1" x14ac:dyDescent="0.25">
      <c r="A37" s="29">
        <v>46295</v>
      </c>
      <c r="B37" s="30" t="s">
        <v>18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/>
      <c r="B38" s="30"/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562F-A659-481C-9833-C2501A601D97}">
  <dimension ref="A1:J999"/>
  <sheetViews>
    <sheetView workbookViewId="0">
      <selection activeCell="G8" sqref="G8:G38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36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46296</v>
      </c>
      <c r="B8" s="30" t="s">
        <v>19</v>
      </c>
      <c r="C8" s="31"/>
      <c r="D8" s="31"/>
      <c r="E8" s="31"/>
      <c r="F8" s="31"/>
      <c r="G8" s="32">
        <f>SUM((F8-E8)+(D8-C8))-"6:00"</f>
        <v>-0.25</v>
      </c>
      <c r="H8" s="32"/>
      <c r="I8" s="32"/>
      <c r="J8" s="32"/>
    </row>
    <row r="9" spans="1:10" s="33" customFormat="1" x14ac:dyDescent="0.25">
      <c r="A9" s="29">
        <v>46297</v>
      </c>
      <c r="B9" s="30" t="s">
        <v>20</v>
      </c>
      <c r="C9" s="31"/>
      <c r="D9" s="34"/>
      <c r="E9" s="31"/>
      <c r="F9" s="31"/>
      <c r="G9" s="32">
        <f t="shared" ref="G9:G38" si="0">SUM((F9-E9)+(D9-C9))-"6:00"</f>
        <v>-0.25</v>
      </c>
      <c r="H9" s="32"/>
      <c r="I9" s="36"/>
      <c r="J9" s="36"/>
    </row>
    <row r="10" spans="1:10" s="49" customFormat="1" x14ac:dyDescent="0.25">
      <c r="A10" s="45">
        <v>46298</v>
      </c>
      <c r="B10" s="46" t="s">
        <v>21</v>
      </c>
      <c r="C10" s="47"/>
      <c r="D10" s="47"/>
      <c r="E10" s="47"/>
      <c r="F10" s="47"/>
      <c r="G10" s="32">
        <f t="shared" si="0"/>
        <v>-0.25</v>
      </c>
      <c r="H10" s="48"/>
      <c r="I10" s="48"/>
      <c r="J10" s="48"/>
    </row>
    <row r="11" spans="1:10" s="49" customFormat="1" x14ac:dyDescent="0.25">
      <c r="A11" s="45">
        <v>46299</v>
      </c>
      <c r="B11" s="46" t="s">
        <v>15</v>
      </c>
      <c r="C11" s="47"/>
      <c r="D11" s="47"/>
      <c r="E11" s="47"/>
      <c r="F11" s="47"/>
      <c r="G11" s="32">
        <f t="shared" si="0"/>
        <v>-0.25</v>
      </c>
      <c r="H11" s="48"/>
      <c r="I11" s="48"/>
      <c r="J11" s="48"/>
    </row>
    <row r="12" spans="1:10" s="33" customFormat="1" x14ac:dyDescent="0.25">
      <c r="A12" s="29">
        <v>46300</v>
      </c>
      <c r="B12" s="30" t="s">
        <v>16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46301</v>
      </c>
      <c r="B13" s="30" t="s">
        <v>17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33" customFormat="1" x14ac:dyDescent="0.25">
      <c r="A14" s="29">
        <v>46302</v>
      </c>
      <c r="B14" s="30" t="s">
        <v>18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33" customFormat="1" x14ac:dyDescent="0.25">
      <c r="A15" s="29">
        <v>46303</v>
      </c>
      <c r="B15" s="30" t="s">
        <v>19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46304</v>
      </c>
      <c r="B16" s="30" t="s">
        <v>20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49" customFormat="1" x14ac:dyDescent="0.25">
      <c r="A17" s="45">
        <v>46305</v>
      </c>
      <c r="B17" s="46" t="s">
        <v>21</v>
      </c>
      <c r="C17" s="47"/>
      <c r="D17" s="47"/>
      <c r="E17" s="47"/>
      <c r="F17" s="47"/>
      <c r="G17" s="32">
        <f t="shared" si="0"/>
        <v>-0.25</v>
      </c>
      <c r="H17" s="48"/>
      <c r="I17" s="48"/>
      <c r="J17" s="48"/>
    </row>
    <row r="18" spans="1:10" s="49" customFormat="1" ht="15.75" x14ac:dyDescent="0.25">
      <c r="A18" s="45">
        <v>46306</v>
      </c>
      <c r="B18" s="46" t="s">
        <v>15</v>
      </c>
      <c r="C18" s="47"/>
      <c r="D18" s="47"/>
      <c r="E18" s="47"/>
      <c r="F18" s="47"/>
      <c r="G18" s="32">
        <f t="shared" si="0"/>
        <v>-0.25</v>
      </c>
      <c r="H18" s="50"/>
      <c r="I18" s="48"/>
      <c r="J18" s="48"/>
    </row>
    <row r="19" spans="1:10" s="49" customFormat="1" x14ac:dyDescent="0.25">
      <c r="A19" s="45">
        <v>46307</v>
      </c>
      <c r="B19" s="46" t="s">
        <v>16</v>
      </c>
      <c r="C19" s="47"/>
      <c r="D19" s="47"/>
      <c r="E19" s="47"/>
      <c r="F19" s="47"/>
      <c r="G19" s="32">
        <f t="shared" si="0"/>
        <v>-0.25</v>
      </c>
      <c r="H19" s="48" t="s">
        <v>29</v>
      </c>
      <c r="I19" s="48"/>
      <c r="J19" s="48"/>
    </row>
    <row r="20" spans="1:10" s="33" customFormat="1" x14ac:dyDescent="0.25">
      <c r="A20" s="29">
        <v>46308</v>
      </c>
      <c r="B20" s="30" t="s">
        <v>17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33" customFormat="1" x14ac:dyDescent="0.25">
      <c r="A21" s="29">
        <v>46309</v>
      </c>
      <c r="B21" s="30" t="s">
        <v>18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46310</v>
      </c>
      <c r="B22" s="30" t="s">
        <v>19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46311</v>
      </c>
      <c r="B23" s="30" t="s">
        <v>20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49" customFormat="1" x14ac:dyDescent="0.25">
      <c r="A24" s="45">
        <v>46312</v>
      </c>
      <c r="B24" s="46" t="s">
        <v>21</v>
      </c>
      <c r="C24" s="47"/>
      <c r="D24" s="47"/>
      <c r="E24" s="47"/>
      <c r="F24" s="47"/>
      <c r="G24" s="32">
        <f t="shared" si="0"/>
        <v>-0.25</v>
      </c>
      <c r="H24" s="48"/>
      <c r="I24" s="48"/>
      <c r="J24" s="48"/>
    </row>
    <row r="25" spans="1:10" s="49" customFormat="1" x14ac:dyDescent="0.25">
      <c r="A25" s="45">
        <v>46313</v>
      </c>
      <c r="B25" s="46" t="s">
        <v>15</v>
      </c>
      <c r="C25" s="47"/>
      <c r="D25" s="47"/>
      <c r="E25" s="47"/>
      <c r="F25" s="47"/>
      <c r="G25" s="32">
        <f t="shared" si="0"/>
        <v>-0.25</v>
      </c>
      <c r="H25" s="48"/>
      <c r="I25" s="48"/>
      <c r="J25" s="48"/>
    </row>
    <row r="26" spans="1:10" s="33" customFormat="1" x14ac:dyDescent="0.25">
      <c r="A26" s="29">
        <v>46314</v>
      </c>
      <c r="B26" s="30" t="s">
        <v>16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33" customFormat="1" x14ac:dyDescent="0.25">
      <c r="A27" s="29">
        <v>46315</v>
      </c>
      <c r="B27" s="30" t="s">
        <v>17</v>
      </c>
      <c r="C27" s="39"/>
      <c r="D27" s="39"/>
      <c r="E27" s="39"/>
      <c r="F27" s="39"/>
      <c r="G27" s="32">
        <f t="shared" si="0"/>
        <v>-0.25</v>
      </c>
      <c r="H27" s="40"/>
      <c r="I27" s="40"/>
      <c r="J27" s="40"/>
    </row>
    <row r="28" spans="1:10" s="33" customFormat="1" x14ac:dyDescent="0.25">
      <c r="A28" s="29">
        <v>46316</v>
      </c>
      <c r="B28" s="30" t="s">
        <v>18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33" customFormat="1" x14ac:dyDescent="0.25">
      <c r="A29" s="29">
        <v>46317</v>
      </c>
      <c r="B29" s="30" t="s">
        <v>19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46318</v>
      </c>
      <c r="B30" s="30" t="s">
        <v>20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49" customFormat="1" ht="15.75" x14ac:dyDescent="0.25">
      <c r="A31" s="45">
        <v>46319</v>
      </c>
      <c r="B31" s="46" t="s">
        <v>21</v>
      </c>
      <c r="C31" s="47"/>
      <c r="D31" s="47"/>
      <c r="E31" s="47"/>
      <c r="F31" s="47"/>
      <c r="G31" s="32">
        <f t="shared" si="0"/>
        <v>-0.25</v>
      </c>
      <c r="H31" s="51"/>
      <c r="I31" s="52"/>
      <c r="J31" s="52"/>
    </row>
    <row r="32" spans="1:10" s="49" customFormat="1" x14ac:dyDescent="0.25">
      <c r="A32" s="45">
        <v>46320</v>
      </c>
      <c r="B32" s="46" t="s">
        <v>15</v>
      </c>
      <c r="C32" s="47"/>
      <c r="D32" s="47"/>
      <c r="E32" s="47"/>
      <c r="F32" s="47"/>
      <c r="G32" s="32">
        <f t="shared" si="0"/>
        <v>-0.25</v>
      </c>
      <c r="H32" s="52"/>
      <c r="I32" s="52"/>
      <c r="J32" s="52"/>
    </row>
    <row r="33" spans="1:10" s="33" customFormat="1" x14ac:dyDescent="0.25">
      <c r="A33" s="29">
        <v>46321</v>
      </c>
      <c r="B33" s="30" t="s">
        <v>16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46322</v>
      </c>
      <c r="B34" s="30" t="s">
        <v>17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33" customFormat="1" x14ac:dyDescent="0.25">
      <c r="A35" s="29">
        <v>46323</v>
      </c>
      <c r="B35" s="30" t="s">
        <v>18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ht="15.75" x14ac:dyDescent="0.25">
      <c r="A36" s="29">
        <v>46324</v>
      </c>
      <c r="B36" s="30" t="s">
        <v>19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33" customFormat="1" x14ac:dyDescent="0.25">
      <c r="A37" s="29">
        <v>46325</v>
      </c>
      <c r="B37" s="30" t="s">
        <v>20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49" customFormat="1" x14ac:dyDescent="0.25">
      <c r="A38" s="45">
        <v>46326</v>
      </c>
      <c r="B38" s="46" t="s">
        <v>21</v>
      </c>
      <c r="C38" s="53"/>
      <c r="D38" s="53"/>
      <c r="E38" s="53"/>
      <c r="F38" s="53"/>
      <c r="G38" s="32">
        <f t="shared" si="0"/>
        <v>-0.25</v>
      </c>
      <c r="H38" s="52"/>
      <c r="I38" s="52"/>
      <c r="J38" s="52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68A8-368A-4B4E-A58D-761BCF728A8B}">
  <dimension ref="A1:J999"/>
  <sheetViews>
    <sheetView workbookViewId="0">
      <selection activeCell="G17" sqref="G17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37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49" customFormat="1" x14ac:dyDescent="0.25">
      <c r="A8" s="45">
        <v>46327</v>
      </c>
      <c r="B8" s="46" t="s">
        <v>15</v>
      </c>
      <c r="C8" s="47"/>
      <c r="D8" s="47"/>
      <c r="E8" s="47"/>
      <c r="F8" s="47"/>
      <c r="G8" s="32">
        <f>SUM((F8-E8)+(D8-C8))-"6:00"</f>
        <v>-0.25</v>
      </c>
      <c r="H8" s="48"/>
      <c r="I8" s="48"/>
      <c r="J8" s="48"/>
    </row>
    <row r="9" spans="1:10" s="49" customFormat="1" x14ac:dyDescent="0.25">
      <c r="A9" s="45">
        <v>46328</v>
      </c>
      <c r="B9" s="46" t="s">
        <v>16</v>
      </c>
      <c r="C9" s="47"/>
      <c r="D9" s="54"/>
      <c r="E9" s="47"/>
      <c r="F9" s="47"/>
      <c r="G9" s="32">
        <f t="shared" ref="G9:G38" si="0">SUM((F9-E9)+(D9-C9))-"6:00"</f>
        <v>-0.25</v>
      </c>
      <c r="H9" s="48" t="s">
        <v>29</v>
      </c>
      <c r="I9" s="56"/>
      <c r="J9" s="56"/>
    </row>
    <row r="10" spans="1:10" s="33" customFormat="1" x14ac:dyDescent="0.25">
      <c r="A10" s="29">
        <v>46329</v>
      </c>
      <c r="B10" s="30" t="s">
        <v>17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33" customFormat="1" x14ac:dyDescent="0.25">
      <c r="A11" s="29">
        <v>46330</v>
      </c>
      <c r="B11" s="30" t="s">
        <v>18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33" customFormat="1" x14ac:dyDescent="0.25">
      <c r="A12" s="29">
        <v>46331</v>
      </c>
      <c r="B12" s="30" t="s">
        <v>19</v>
      </c>
      <c r="C12" s="31"/>
      <c r="D12" s="31"/>
      <c r="E12" s="31"/>
      <c r="F12" s="31"/>
      <c r="G12" s="32">
        <f t="shared" si="0"/>
        <v>-0.25</v>
      </c>
      <c r="H12" s="32"/>
      <c r="I12" s="32"/>
      <c r="J12" s="32"/>
    </row>
    <row r="13" spans="1:10" s="33" customFormat="1" x14ac:dyDescent="0.25">
      <c r="A13" s="29">
        <v>46332</v>
      </c>
      <c r="B13" s="30" t="s">
        <v>20</v>
      </c>
      <c r="C13" s="34"/>
      <c r="D13" s="34"/>
      <c r="E13" s="34"/>
      <c r="F13" s="34"/>
      <c r="G13" s="32">
        <f t="shared" si="0"/>
        <v>-0.25</v>
      </c>
      <c r="H13" s="32"/>
      <c r="I13" s="36"/>
      <c r="J13" s="36"/>
    </row>
    <row r="14" spans="1:10" s="49" customFormat="1" x14ac:dyDescent="0.25">
      <c r="A14" s="45">
        <v>46333</v>
      </c>
      <c r="B14" s="46" t="s">
        <v>21</v>
      </c>
      <c r="C14" s="47"/>
      <c r="D14" s="47"/>
      <c r="E14" s="47"/>
      <c r="F14" s="47"/>
      <c r="G14" s="32">
        <f t="shared" si="0"/>
        <v>-0.25</v>
      </c>
      <c r="H14" s="48"/>
      <c r="I14" s="48"/>
      <c r="J14" s="48"/>
    </row>
    <row r="15" spans="1:10" s="49" customFormat="1" x14ac:dyDescent="0.25">
      <c r="A15" s="45">
        <v>46334</v>
      </c>
      <c r="B15" s="46" t="s">
        <v>15</v>
      </c>
      <c r="C15" s="47"/>
      <c r="D15" s="47"/>
      <c r="E15" s="47"/>
      <c r="F15" s="47"/>
      <c r="G15" s="32">
        <f t="shared" si="0"/>
        <v>-0.25</v>
      </c>
      <c r="H15" s="48"/>
      <c r="I15" s="48"/>
      <c r="J15" s="48"/>
    </row>
    <row r="16" spans="1:10" s="33" customFormat="1" x14ac:dyDescent="0.25">
      <c r="A16" s="29">
        <v>46335</v>
      </c>
      <c r="B16" s="30" t="s">
        <v>16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46336</v>
      </c>
      <c r="B17" s="30" t="s">
        <v>17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46337</v>
      </c>
      <c r="B18" s="30" t="s">
        <v>18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33" customFormat="1" x14ac:dyDescent="0.25">
      <c r="A19" s="29">
        <v>46338</v>
      </c>
      <c r="B19" s="30" t="s">
        <v>19</v>
      </c>
      <c r="C19" s="31"/>
      <c r="D19" s="31"/>
      <c r="E19" s="31"/>
      <c r="F19" s="31"/>
      <c r="G19" s="32">
        <f t="shared" si="0"/>
        <v>-0.25</v>
      </c>
      <c r="H19" s="32"/>
      <c r="I19" s="32"/>
      <c r="J19" s="32"/>
    </row>
    <row r="20" spans="1:10" s="33" customFormat="1" x14ac:dyDescent="0.25">
      <c r="A20" s="29">
        <v>46339</v>
      </c>
      <c r="B20" s="30" t="s">
        <v>20</v>
      </c>
      <c r="C20" s="31"/>
      <c r="D20" s="31"/>
      <c r="E20" s="31"/>
      <c r="F20" s="31"/>
      <c r="G20" s="32">
        <f t="shared" si="0"/>
        <v>-0.25</v>
      </c>
      <c r="H20" s="32"/>
      <c r="I20" s="32"/>
      <c r="J20" s="32"/>
    </row>
    <row r="21" spans="1:10" s="49" customFormat="1" x14ac:dyDescent="0.25">
      <c r="A21" s="45">
        <v>46340</v>
      </c>
      <c r="B21" s="46" t="s">
        <v>21</v>
      </c>
      <c r="C21" s="47"/>
      <c r="D21" s="47"/>
      <c r="E21" s="47"/>
      <c r="F21" s="47"/>
      <c r="G21" s="32">
        <f t="shared" si="0"/>
        <v>-0.25</v>
      </c>
      <c r="H21" s="48"/>
      <c r="I21" s="48"/>
      <c r="J21" s="48"/>
    </row>
    <row r="22" spans="1:10" s="49" customFormat="1" x14ac:dyDescent="0.25">
      <c r="A22" s="45">
        <v>46341</v>
      </c>
      <c r="B22" s="46" t="s">
        <v>15</v>
      </c>
      <c r="C22" s="47"/>
      <c r="D22" s="47"/>
      <c r="E22" s="47"/>
      <c r="F22" s="47"/>
      <c r="G22" s="32">
        <f t="shared" si="0"/>
        <v>-0.25</v>
      </c>
      <c r="H22" s="48" t="s">
        <v>29</v>
      </c>
      <c r="I22" s="48"/>
      <c r="J22" s="48"/>
    </row>
    <row r="23" spans="1:10" s="33" customFormat="1" x14ac:dyDescent="0.25">
      <c r="A23" s="29">
        <v>46342</v>
      </c>
      <c r="B23" s="30" t="s">
        <v>16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46343</v>
      </c>
      <c r="B24" s="30" t="s">
        <v>17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46344</v>
      </c>
      <c r="B25" s="30" t="s">
        <v>18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33" customFormat="1" x14ac:dyDescent="0.25">
      <c r="A26" s="29">
        <v>46345</v>
      </c>
      <c r="B26" s="30" t="s">
        <v>19</v>
      </c>
      <c r="C26" s="31"/>
      <c r="D26" s="31"/>
      <c r="E26" s="31"/>
      <c r="F26" s="31"/>
      <c r="G26" s="32">
        <f t="shared" si="0"/>
        <v>-0.25</v>
      </c>
      <c r="H26" s="32"/>
      <c r="I26" s="32"/>
      <c r="J26" s="32"/>
    </row>
    <row r="27" spans="1:10" s="49" customFormat="1" x14ac:dyDescent="0.25">
      <c r="A27" s="45">
        <v>46346</v>
      </c>
      <c r="B27" s="46" t="s">
        <v>20</v>
      </c>
      <c r="C27" s="53"/>
      <c r="D27" s="53"/>
      <c r="E27" s="53"/>
      <c r="F27" s="53"/>
      <c r="G27" s="32">
        <f t="shared" si="0"/>
        <v>-0.25</v>
      </c>
      <c r="H27" s="48" t="s">
        <v>29</v>
      </c>
      <c r="I27" s="52"/>
      <c r="J27" s="52"/>
    </row>
    <row r="28" spans="1:10" s="49" customFormat="1" x14ac:dyDescent="0.25">
      <c r="A28" s="45">
        <v>46347</v>
      </c>
      <c r="B28" s="46" t="s">
        <v>21</v>
      </c>
      <c r="C28" s="47"/>
      <c r="D28" s="47"/>
      <c r="E28" s="47"/>
      <c r="F28" s="47"/>
      <c r="G28" s="32">
        <f t="shared" si="0"/>
        <v>-0.25</v>
      </c>
      <c r="H28" s="48"/>
      <c r="I28" s="48"/>
      <c r="J28" s="48"/>
    </row>
    <row r="29" spans="1:10" s="49" customFormat="1" x14ac:dyDescent="0.25">
      <c r="A29" s="45">
        <v>46348</v>
      </c>
      <c r="B29" s="46" t="s">
        <v>15</v>
      </c>
      <c r="C29" s="47"/>
      <c r="D29" s="47"/>
      <c r="E29" s="47"/>
      <c r="F29" s="47"/>
      <c r="G29" s="32">
        <f t="shared" si="0"/>
        <v>-0.25</v>
      </c>
      <c r="H29" s="48"/>
      <c r="I29" s="48"/>
      <c r="J29" s="48"/>
    </row>
    <row r="30" spans="1:10" s="33" customFormat="1" x14ac:dyDescent="0.25">
      <c r="A30" s="29">
        <v>46349</v>
      </c>
      <c r="B30" s="30" t="s">
        <v>16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46350</v>
      </c>
      <c r="B31" s="30" t="s">
        <v>17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33" customFormat="1" x14ac:dyDescent="0.25">
      <c r="A32" s="29">
        <v>46351</v>
      </c>
      <c r="B32" s="30" t="s">
        <v>18</v>
      </c>
      <c r="C32" s="31"/>
      <c r="D32" s="31"/>
      <c r="E32" s="31"/>
      <c r="F32" s="31"/>
      <c r="G32" s="32">
        <f t="shared" si="0"/>
        <v>-0.25</v>
      </c>
      <c r="H32" s="40"/>
      <c r="I32" s="40"/>
      <c r="J32" s="40"/>
    </row>
    <row r="33" spans="1:10" s="33" customFormat="1" x14ac:dyDescent="0.25">
      <c r="A33" s="29">
        <v>46352</v>
      </c>
      <c r="B33" s="30" t="s">
        <v>19</v>
      </c>
      <c r="C33" s="31"/>
      <c r="D33" s="31"/>
      <c r="E33" s="31"/>
      <c r="F33" s="31"/>
      <c r="G33" s="32">
        <f t="shared" si="0"/>
        <v>-0.25</v>
      </c>
      <c r="H33" s="40"/>
      <c r="I33" s="40"/>
      <c r="J33" s="40"/>
    </row>
    <row r="34" spans="1:10" s="33" customFormat="1" x14ac:dyDescent="0.25">
      <c r="A34" s="29">
        <v>46353</v>
      </c>
      <c r="B34" s="30" t="s">
        <v>20</v>
      </c>
      <c r="C34" s="39"/>
      <c r="D34" s="39"/>
      <c r="E34" s="39"/>
      <c r="F34" s="39"/>
      <c r="G34" s="32">
        <f t="shared" si="0"/>
        <v>-0.25</v>
      </c>
      <c r="H34" s="40"/>
      <c r="I34" s="40"/>
      <c r="J34" s="40"/>
    </row>
    <row r="35" spans="1:10" s="49" customFormat="1" x14ac:dyDescent="0.25">
      <c r="A35" s="45">
        <v>46354</v>
      </c>
      <c r="B35" s="46" t="s">
        <v>21</v>
      </c>
      <c r="C35" s="53"/>
      <c r="D35" s="53"/>
      <c r="E35" s="53"/>
      <c r="F35" s="53"/>
      <c r="G35" s="32">
        <f t="shared" si="0"/>
        <v>-0.25</v>
      </c>
      <c r="H35" s="52"/>
      <c r="I35" s="52"/>
      <c r="J35" s="52"/>
    </row>
    <row r="36" spans="1:10" s="49" customFormat="1" ht="15.75" x14ac:dyDescent="0.25">
      <c r="A36" s="45">
        <v>46355</v>
      </c>
      <c r="B36" s="46" t="s">
        <v>15</v>
      </c>
      <c r="C36" s="47"/>
      <c r="D36" s="47"/>
      <c r="E36" s="47"/>
      <c r="F36" s="47"/>
      <c r="G36" s="32">
        <f t="shared" si="0"/>
        <v>-0.25</v>
      </c>
      <c r="H36" s="51"/>
      <c r="I36" s="52"/>
      <c r="J36" s="52"/>
    </row>
    <row r="37" spans="1:10" s="33" customFormat="1" x14ac:dyDescent="0.25">
      <c r="A37" s="29">
        <v>46356</v>
      </c>
      <c r="B37" s="30" t="s">
        <v>16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/>
      <c r="B38" s="30"/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C216-B952-479A-AADF-172BC5227C40}">
  <dimension ref="A1:J999"/>
  <sheetViews>
    <sheetView tabSelected="1" workbookViewId="0">
      <selection activeCell="H14" sqref="H14"/>
    </sheetView>
  </sheetViews>
  <sheetFormatPr defaultRowHeight="15" x14ac:dyDescent="0.25"/>
  <cols>
    <col min="1" max="1" width="3.140625" customWidth="1"/>
    <col min="2" max="2" width="7.42578125" customWidth="1"/>
    <col min="3" max="3" width="9.42578125" customWidth="1"/>
    <col min="4" max="4" width="9" customWidth="1"/>
    <col min="5" max="5" width="8.85546875" customWidth="1"/>
    <col min="6" max="6" width="10" customWidth="1"/>
    <col min="7" max="7" width="11.7109375" customWidth="1"/>
    <col min="8" max="8" width="55.140625" customWidth="1"/>
    <col min="9" max="9" width="16.140625" customWidth="1"/>
    <col min="10" max="10" width="13.7109375" customWidth="1"/>
  </cols>
  <sheetData>
    <row r="1" spans="1:10" x14ac:dyDescent="0.25">
      <c r="A1" s="23" t="s">
        <v>26</v>
      </c>
      <c r="B1" s="24"/>
      <c r="C1" s="24"/>
      <c r="D1" s="24"/>
      <c r="E1" s="24"/>
      <c r="F1" s="24"/>
      <c r="G1" s="24"/>
      <c r="H1" s="25"/>
      <c r="I1" s="26"/>
      <c r="J1" s="26"/>
    </row>
    <row r="2" spans="1:10" x14ac:dyDescent="0.25">
      <c r="A2" s="23" t="s">
        <v>0</v>
      </c>
      <c r="B2" s="24"/>
      <c r="C2" s="24"/>
      <c r="D2" s="24"/>
      <c r="E2" s="24"/>
      <c r="F2" s="24"/>
      <c r="G2" s="24"/>
      <c r="H2" s="25"/>
      <c r="I2" s="26"/>
      <c r="J2" s="26"/>
    </row>
    <row r="3" spans="1:10" x14ac:dyDescent="0.25">
      <c r="A3" s="27"/>
      <c r="B3" s="28"/>
      <c r="C3" s="28"/>
      <c r="D3" s="28"/>
      <c r="E3" s="28"/>
      <c r="F3" s="28"/>
      <c r="G3" s="24"/>
      <c r="H3" s="25"/>
      <c r="I3" s="26"/>
      <c r="J3" s="26"/>
    </row>
    <row r="4" spans="1:10" x14ac:dyDescent="0.25">
      <c r="A4" s="24" t="s">
        <v>1</v>
      </c>
      <c r="B4" s="24"/>
      <c r="C4" s="24"/>
      <c r="D4" s="8" t="s">
        <v>22</v>
      </c>
      <c r="E4" s="24" t="s">
        <v>38</v>
      </c>
      <c r="F4" s="24"/>
      <c r="G4" s="7" t="s">
        <v>39</v>
      </c>
      <c r="H4" s="6"/>
      <c r="I4" s="26"/>
      <c r="J4" s="26"/>
    </row>
    <row r="5" spans="1:10" x14ac:dyDescent="0.25">
      <c r="A5" s="21" t="s">
        <v>23</v>
      </c>
      <c r="B5" s="22"/>
      <c r="C5" s="22"/>
      <c r="D5" s="19"/>
      <c r="E5" s="19"/>
      <c r="F5" s="19"/>
      <c r="G5" s="20"/>
      <c r="H5" s="20"/>
      <c r="I5" s="17" t="s">
        <v>2</v>
      </c>
      <c r="J5" s="17"/>
    </row>
    <row r="6" spans="1:10" x14ac:dyDescent="0.25">
      <c r="A6" s="18" t="s">
        <v>3</v>
      </c>
      <c r="B6" s="18"/>
      <c r="C6" s="18" t="s">
        <v>4</v>
      </c>
      <c r="D6" s="18"/>
      <c r="E6" s="18" t="s">
        <v>5</v>
      </c>
      <c r="F6" s="18"/>
      <c r="G6" s="1" t="s">
        <v>6</v>
      </c>
      <c r="H6" s="2"/>
      <c r="I6" s="1" t="s">
        <v>7</v>
      </c>
      <c r="J6" s="3" t="s">
        <v>8</v>
      </c>
    </row>
    <row r="7" spans="1:10" x14ac:dyDescent="0.25">
      <c r="A7" s="18"/>
      <c r="B7" s="18"/>
      <c r="C7" s="1" t="s">
        <v>9</v>
      </c>
      <c r="D7" s="1" t="s">
        <v>10</v>
      </c>
      <c r="E7" s="1" t="s">
        <v>9</v>
      </c>
      <c r="F7" s="1" t="s">
        <v>10</v>
      </c>
      <c r="G7" s="1" t="s">
        <v>11</v>
      </c>
      <c r="H7" s="4" t="s">
        <v>12</v>
      </c>
      <c r="I7" s="1" t="s">
        <v>13</v>
      </c>
      <c r="J7" s="1" t="s">
        <v>14</v>
      </c>
    </row>
    <row r="8" spans="1:10" s="33" customFormat="1" x14ac:dyDescent="0.25">
      <c r="A8" s="29">
        <v>46357</v>
      </c>
      <c r="B8" s="30" t="s">
        <v>17</v>
      </c>
      <c r="C8" s="31"/>
      <c r="D8" s="31"/>
      <c r="E8" s="31"/>
      <c r="F8" s="31"/>
      <c r="G8" s="32">
        <f>SUM((F8-E8)+(D8-C8))-"6:00"</f>
        <v>-0.25</v>
      </c>
      <c r="H8" s="32"/>
      <c r="I8" s="32"/>
      <c r="J8" s="32"/>
    </row>
    <row r="9" spans="1:10" s="33" customFormat="1" x14ac:dyDescent="0.25">
      <c r="A9" s="29">
        <v>46358</v>
      </c>
      <c r="B9" s="30" t="s">
        <v>18</v>
      </c>
      <c r="C9" s="31"/>
      <c r="D9" s="34"/>
      <c r="E9" s="31"/>
      <c r="F9" s="31"/>
      <c r="G9" s="32">
        <f t="shared" ref="G9:G38" si="0">SUM((F9-E9)+(D9-C9))-"6:00"</f>
        <v>-0.25</v>
      </c>
      <c r="H9" s="32"/>
      <c r="I9" s="36"/>
      <c r="J9" s="36"/>
    </row>
    <row r="10" spans="1:10" s="33" customFormat="1" x14ac:dyDescent="0.25">
      <c r="A10" s="29">
        <v>46359</v>
      </c>
      <c r="B10" s="30" t="s">
        <v>19</v>
      </c>
      <c r="C10" s="31"/>
      <c r="D10" s="31"/>
      <c r="E10" s="31"/>
      <c r="F10" s="31"/>
      <c r="G10" s="32">
        <f t="shared" si="0"/>
        <v>-0.25</v>
      </c>
      <c r="H10" s="32"/>
      <c r="I10" s="32"/>
      <c r="J10" s="32"/>
    </row>
    <row r="11" spans="1:10" s="33" customFormat="1" x14ac:dyDescent="0.25">
      <c r="A11" s="29">
        <v>46360</v>
      </c>
      <c r="B11" s="30" t="s">
        <v>20</v>
      </c>
      <c r="C11" s="31"/>
      <c r="D11" s="31"/>
      <c r="E11" s="31"/>
      <c r="F11" s="31"/>
      <c r="G11" s="32">
        <f t="shared" si="0"/>
        <v>-0.25</v>
      </c>
      <c r="H11" s="32"/>
      <c r="I11" s="32"/>
      <c r="J11" s="32"/>
    </row>
    <row r="12" spans="1:10" s="49" customFormat="1" x14ac:dyDescent="0.25">
      <c r="A12" s="45">
        <v>46361</v>
      </c>
      <c r="B12" s="46" t="s">
        <v>21</v>
      </c>
      <c r="C12" s="47"/>
      <c r="D12" s="47"/>
      <c r="E12" s="47"/>
      <c r="F12" s="47"/>
      <c r="G12" s="32">
        <f t="shared" si="0"/>
        <v>-0.25</v>
      </c>
      <c r="H12" s="48"/>
      <c r="I12" s="48"/>
      <c r="J12" s="48"/>
    </row>
    <row r="13" spans="1:10" s="49" customFormat="1" x14ac:dyDescent="0.25">
      <c r="A13" s="45">
        <v>46362</v>
      </c>
      <c r="B13" s="46" t="s">
        <v>15</v>
      </c>
      <c r="C13" s="54"/>
      <c r="D13" s="54"/>
      <c r="E13" s="54"/>
      <c r="F13" s="54"/>
      <c r="G13" s="32">
        <f t="shared" si="0"/>
        <v>-0.25</v>
      </c>
      <c r="H13" s="48"/>
      <c r="I13" s="56"/>
      <c r="J13" s="56"/>
    </row>
    <row r="14" spans="1:10" s="33" customFormat="1" x14ac:dyDescent="0.25">
      <c r="A14" s="29">
        <v>46363</v>
      </c>
      <c r="B14" s="30" t="s">
        <v>16</v>
      </c>
      <c r="C14" s="31"/>
      <c r="D14" s="31"/>
      <c r="E14" s="31"/>
      <c r="F14" s="31"/>
      <c r="G14" s="32">
        <f t="shared" si="0"/>
        <v>-0.25</v>
      </c>
      <c r="H14" s="32"/>
      <c r="I14" s="32"/>
      <c r="J14" s="32"/>
    </row>
    <row r="15" spans="1:10" s="33" customFormat="1" x14ac:dyDescent="0.25">
      <c r="A15" s="29">
        <v>46364</v>
      </c>
      <c r="B15" s="30" t="s">
        <v>17</v>
      </c>
      <c r="C15" s="31"/>
      <c r="D15" s="31"/>
      <c r="E15" s="31"/>
      <c r="F15" s="31"/>
      <c r="G15" s="32">
        <f t="shared" si="0"/>
        <v>-0.25</v>
      </c>
      <c r="H15" s="32"/>
      <c r="I15" s="32"/>
      <c r="J15" s="32"/>
    </row>
    <row r="16" spans="1:10" s="33" customFormat="1" x14ac:dyDescent="0.25">
      <c r="A16" s="29">
        <v>46365</v>
      </c>
      <c r="B16" s="30" t="s">
        <v>18</v>
      </c>
      <c r="C16" s="31"/>
      <c r="D16" s="31"/>
      <c r="E16" s="31"/>
      <c r="F16" s="31"/>
      <c r="G16" s="32">
        <f t="shared" si="0"/>
        <v>-0.25</v>
      </c>
      <c r="H16" s="37"/>
      <c r="I16" s="37"/>
      <c r="J16" s="37"/>
    </row>
    <row r="17" spans="1:10" s="33" customFormat="1" x14ac:dyDescent="0.25">
      <c r="A17" s="29">
        <v>46366</v>
      </c>
      <c r="B17" s="30" t="s">
        <v>19</v>
      </c>
      <c r="C17" s="31"/>
      <c r="D17" s="31"/>
      <c r="E17" s="31"/>
      <c r="F17" s="31"/>
      <c r="G17" s="32">
        <f t="shared" si="0"/>
        <v>-0.25</v>
      </c>
      <c r="H17" s="32"/>
      <c r="I17" s="32"/>
      <c r="J17" s="32"/>
    </row>
    <row r="18" spans="1:10" s="33" customFormat="1" ht="15.75" x14ac:dyDescent="0.25">
      <c r="A18" s="29">
        <v>46367</v>
      </c>
      <c r="B18" s="30" t="s">
        <v>20</v>
      </c>
      <c r="C18" s="31"/>
      <c r="D18" s="31"/>
      <c r="E18" s="31"/>
      <c r="F18" s="31"/>
      <c r="G18" s="32">
        <f t="shared" si="0"/>
        <v>-0.25</v>
      </c>
      <c r="H18" s="38"/>
      <c r="I18" s="32"/>
      <c r="J18" s="32"/>
    </row>
    <row r="19" spans="1:10" s="49" customFormat="1" x14ac:dyDescent="0.25">
      <c r="A19" s="45">
        <v>46368</v>
      </c>
      <c r="B19" s="46" t="s">
        <v>21</v>
      </c>
      <c r="C19" s="47"/>
      <c r="D19" s="47"/>
      <c r="E19" s="47"/>
      <c r="F19" s="47"/>
      <c r="G19" s="32">
        <f t="shared" si="0"/>
        <v>-0.25</v>
      </c>
      <c r="H19" s="48"/>
      <c r="I19" s="48"/>
      <c r="J19" s="48"/>
    </row>
    <row r="20" spans="1:10" s="49" customFormat="1" ht="14.25" customHeight="1" x14ac:dyDescent="0.25">
      <c r="A20" s="45">
        <v>46369</v>
      </c>
      <c r="B20" s="46" t="s">
        <v>15</v>
      </c>
      <c r="C20" s="47"/>
      <c r="D20" s="47"/>
      <c r="E20" s="47"/>
      <c r="F20" s="47"/>
      <c r="G20" s="32">
        <f t="shared" si="0"/>
        <v>-0.25</v>
      </c>
      <c r="H20" s="48"/>
      <c r="I20" s="48"/>
      <c r="J20" s="48"/>
    </row>
    <row r="21" spans="1:10" s="33" customFormat="1" x14ac:dyDescent="0.25">
      <c r="A21" s="29">
        <v>46370</v>
      </c>
      <c r="B21" s="30" t="s">
        <v>16</v>
      </c>
      <c r="C21" s="31"/>
      <c r="D21" s="31"/>
      <c r="E21" s="31"/>
      <c r="F21" s="31"/>
      <c r="G21" s="32">
        <f t="shared" si="0"/>
        <v>-0.25</v>
      </c>
      <c r="H21" s="32"/>
      <c r="I21" s="32"/>
      <c r="J21" s="32"/>
    </row>
    <row r="22" spans="1:10" s="33" customFormat="1" x14ac:dyDescent="0.25">
      <c r="A22" s="29">
        <v>46371</v>
      </c>
      <c r="B22" s="30" t="s">
        <v>17</v>
      </c>
      <c r="C22" s="31"/>
      <c r="D22" s="31"/>
      <c r="E22" s="31"/>
      <c r="F22" s="31"/>
      <c r="G22" s="32">
        <f t="shared" si="0"/>
        <v>-0.25</v>
      </c>
      <c r="H22" s="32"/>
      <c r="I22" s="32"/>
      <c r="J22" s="32"/>
    </row>
    <row r="23" spans="1:10" s="33" customFormat="1" x14ac:dyDescent="0.25">
      <c r="A23" s="29">
        <v>46372</v>
      </c>
      <c r="B23" s="30" t="s">
        <v>18</v>
      </c>
      <c r="C23" s="31"/>
      <c r="D23" s="31"/>
      <c r="E23" s="31"/>
      <c r="F23" s="31"/>
      <c r="G23" s="32">
        <f t="shared" si="0"/>
        <v>-0.25</v>
      </c>
      <c r="H23" s="32"/>
      <c r="I23" s="32"/>
      <c r="J23" s="32"/>
    </row>
    <row r="24" spans="1:10" s="33" customFormat="1" x14ac:dyDescent="0.25">
      <c r="A24" s="29">
        <v>46373</v>
      </c>
      <c r="B24" s="30" t="s">
        <v>19</v>
      </c>
      <c r="C24" s="31"/>
      <c r="D24" s="31"/>
      <c r="E24" s="31"/>
      <c r="F24" s="31"/>
      <c r="G24" s="32">
        <f t="shared" si="0"/>
        <v>-0.25</v>
      </c>
      <c r="H24" s="32"/>
      <c r="I24" s="32"/>
      <c r="J24" s="32"/>
    </row>
    <row r="25" spans="1:10" s="33" customFormat="1" x14ac:dyDescent="0.25">
      <c r="A25" s="29">
        <v>46374</v>
      </c>
      <c r="B25" s="30" t="s">
        <v>20</v>
      </c>
      <c r="C25" s="31"/>
      <c r="D25" s="31"/>
      <c r="E25" s="31"/>
      <c r="F25" s="31"/>
      <c r="G25" s="32">
        <f t="shared" si="0"/>
        <v>-0.25</v>
      </c>
      <c r="H25" s="32"/>
      <c r="I25" s="32"/>
      <c r="J25" s="32"/>
    </row>
    <row r="26" spans="1:10" s="49" customFormat="1" x14ac:dyDescent="0.25">
      <c r="A26" s="45">
        <v>46375</v>
      </c>
      <c r="B26" s="46" t="s">
        <v>21</v>
      </c>
      <c r="C26" s="47"/>
      <c r="D26" s="47"/>
      <c r="E26" s="47"/>
      <c r="F26" s="47"/>
      <c r="G26" s="32">
        <f t="shared" si="0"/>
        <v>-0.25</v>
      </c>
      <c r="H26" s="48"/>
      <c r="I26" s="48"/>
      <c r="J26" s="48"/>
    </row>
    <row r="27" spans="1:10" s="49" customFormat="1" x14ac:dyDescent="0.25">
      <c r="A27" s="45">
        <v>46376</v>
      </c>
      <c r="B27" s="46" t="s">
        <v>15</v>
      </c>
      <c r="C27" s="53"/>
      <c r="D27" s="53"/>
      <c r="E27" s="53"/>
      <c r="F27" s="53"/>
      <c r="G27" s="32">
        <f t="shared" si="0"/>
        <v>-0.25</v>
      </c>
      <c r="H27" s="52"/>
      <c r="I27" s="52"/>
      <c r="J27" s="52"/>
    </row>
    <row r="28" spans="1:10" s="33" customFormat="1" x14ac:dyDescent="0.25">
      <c r="A28" s="29">
        <v>46377</v>
      </c>
      <c r="B28" s="30" t="s">
        <v>16</v>
      </c>
      <c r="C28" s="31"/>
      <c r="D28" s="31"/>
      <c r="E28" s="31"/>
      <c r="F28" s="31"/>
      <c r="G28" s="32">
        <f t="shared" si="0"/>
        <v>-0.25</v>
      </c>
      <c r="H28" s="32"/>
      <c r="I28" s="32"/>
      <c r="J28" s="32"/>
    </row>
    <row r="29" spans="1:10" s="33" customFormat="1" x14ac:dyDescent="0.25">
      <c r="A29" s="29">
        <v>46378</v>
      </c>
      <c r="B29" s="30" t="s">
        <v>17</v>
      </c>
      <c r="C29" s="31"/>
      <c r="D29" s="31"/>
      <c r="E29" s="31"/>
      <c r="F29" s="31"/>
      <c r="G29" s="32">
        <f t="shared" si="0"/>
        <v>-0.25</v>
      </c>
      <c r="H29" s="32"/>
      <c r="I29" s="32"/>
      <c r="J29" s="32"/>
    </row>
    <row r="30" spans="1:10" s="33" customFormat="1" x14ac:dyDescent="0.25">
      <c r="A30" s="29">
        <v>46379</v>
      </c>
      <c r="B30" s="30" t="s">
        <v>18</v>
      </c>
      <c r="C30" s="31"/>
      <c r="D30" s="31"/>
      <c r="E30" s="31"/>
      <c r="F30" s="31"/>
      <c r="G30" s="32">
        <f t="shared" si="0"/>
        <v>-0.25</v>
      </c>
      <c r="H30" s="40"/>
      <c r="I30" s="40"/>
      <c r="J30" s="40"/>
    </row>
    <row r="31" spans="1:10" s="33" customFormat="1" ht="15.75" x14ac:dyDescent="0.25">
      <c r="A31" s="29">
        <v>46380</v>
      </c>
      <c r="B31" s="30" t="s">
        <v>19</v>
      </c>
      <c r="C31" s="31"/>
      <c r="D31" s="31"/>
      <c r="E31" s="31"/>
      <c r="F31" s="31"/>
      <c r="G31" s="32">
        <f t="shared" si="0"/>
        <v>-0.25</v>
      </c>
      <c r="H31" s="41"/>
      <c r="I31" s="40"/>
      <c r="J31" s="40"/>
    </row>
    <row r="32" spans="1:10" s="49" customFormat="1" x14ac:dyDescent="0.25">
      <c r="A32" s="45">
        <v>46381</v>
      </c>
      <c r="B32" s="46" t="s">
        <v>20</v>
      </c>
      <c r="C32" s="47"/>
      <c r="D32" s="47"/>
      <c r="E32" s="47"/>
      <c r="F32" s="47"/>
      <c r="G32" s="32">
        <f t="shared" si="0"/>
        <v>-0.25</v>
      </c>
      <c r="H32" s="58" t="s">
        <v>29</v>
      </c>
      <c r="I32" s="52"/>
      <c r="J32" s="52"/>
    </row>
    <row r="33" spans="1:10" s="49" customFormat="1" x14ac:dyDescent="0.25">
      <c r="A33" s="45">
        <v>46382</v>
      </c>
      <c r="B33" s="46" t="s">
        <v>21</v>
      </c>
      <c r="C33" s="47"/>
      <c r="D33" s="47"/>
      <c r="E33" s="47"/>
      <c r="F33" s="47"/>
      <c r="G33" s="32">
        <f t="shared" si="0"/>
        <v>-0.25</v>
      </c>
      <c r="H33" s="52"/>
      <c r="I33" s="52"/>
      <c r="J33" s="52"/>
    </row>
    <row r="34" spans="1:10" s="49" customFormat="1" x14ac:dyDescent="0.25">
      <c r="A34" s="45">
        <v>46383</v>
      </c>
      <c r="B34" s="46" t="s">
        <v>15</v>
      </c>
      <c r="C34" s="53"/>
      <c r="D34" s="53"/>
      <c r="E34" s="53"/>
      <c r="F34" s="53"/>
      <c r="G34" s="32">
        <f t="shared" si="0"/>
        <v>-0.25</v>
      </c>
      <c r="H34" s="52"/>
      <c r="I34" s="52"/>
      <c r="J34" s="52"/>
    </row>
    <row r="35" spans="1:10" s="33" customFormat="1" x14ac:dyDescent="0.25">
      <c r="A35" s="29">
        <v>46384</v>
      </c>
      <c r="B35" s="30" t="s">
        <v>16</v>
      </c>
      <c r="C35" s="39"/>
      <c r="D35" s="39"/>
      <c r="E35" s="39"/>
      <c r="F35" s="39"/>
      <c r="G35" s="32">
        <f t="shared" si="0"/>
        <v>-0.25</v>
      </c>
      <c r="H35" s="40"/>
      <c r="I35" s="40"/>
      <c r="J35" s="40"/>
    </row>
    <row r="36" spans="1:10" s="33" customFormat="1" ht="15.75" x14ac:dyDescent="0.25">
      <c r="A36" s="29">
        <v>46385</v>
      </c>
      <c r="B36" s="30" t="s">
        <v>17</v>
      </c>
      <c r="C36" s="31"/>
      <c r="D36" s="31"/>
      <c r="E36" s="31"/>
      <c r="F36" s="31"/>
      <c r="G36" s="32">
        <f t="shared" si="0"/>
        <v>-0.25</v>
      </c>
      <c r="H36" s="41"/>
      <c r="I36" s="40"/>
      <c r="J36" s="40"/>
    </row>
    <row r="37" spans="1:10" s="33" customFormat="1" x14ac:dyDescent="0.25">
      <c r="A37" s="29">
        <v>46386</v>
      </c>
      <c r="B37" s="30" t="s">
        <v>18</v>
      </c>
      <c r="C37" s="31"/>
      <c r="D37" s="31"/>
      <c r="E37" s="31"/>
      <c r="F37" s="31"/>
      <c r="G37" s="32">
        <f t="shared" si="0"/>
        <v>-0.25</v>
      </c>
      <c r="H37" s="40"/>
      <c r="I37" s="40"/>
      <c r="J37" s="40"/>
    </row>
    <row r="38" spans="1:10" s="33" customFormat="1" x14ac:dyDescent="0.25">
      <c r="A38" s="29">
        <v>46387</v>
      </c>
      <c r="B38" s="30" t="s">
        <v>19</v>
      </c>
      <c r="C38" s="39"/>
      <c r="D38" s="39"/>
      <c r="E38" s="39"/>
      <c r="F38" s="39"/>
      <c r="G38" s="32">
        <f t="shared" si="0"/>
        <v>-0.25</v>
      </c>
      <c r="H38" s="40"/>
      <c r="I38" s="40"/>
      <c r="J38" s="40"/>
    </row>
    <row r="39" spans="1:10" s="33" customFormat="1" x14ac:dyDescent="0.25">
      <c r="A39" s="42" t="s">
        <v>25</v>
      </c>
      <c r="B39" s="42"/>
      <c r="C39" s="42"/>
      <c r="D39" s="42"/>
      <c r="E39" s="42"/>
      <c r="F39" s="42"/>
      <c r="G39" s="43">
        <f>SUM(G8:G38)</f>
        <v>-7.75</v>
      </c>
      <c r="H39" s="44"/>
      <c r="I39" s="44"/>
      <c r="J39" s="44"/>
    </row>
    <row r="40" spans="1:10" s="33" customForma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s="33" customForma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mergeCells count="13">
    <mergeCell ref="A1:H1"/>
    <mergeCell ref="I1:J4"/>
    <mergeCell ref="A2:H2"/>
    <mergeCell ref="A3:H3"/>
    <mergeCell ref="A4:C4"/>
    <mergeCell ref="E4:F4"/>
    <mergeCell ref="A39:F39"/>
    <mergeCell ref="A5:C5"/>
    <mergeCell ref="D5:H5"/>
    <mergeCell ref="I5:J5"/>
    <mergeCell ref="A6:B7"/>
    <mergeCell ref="C6:D6"/>
    <mergeCell ref="E6:F6"/>
  </mergeCells>
  <phoneticPr fontId="8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Nazatto</dc:creator>
  <cp:lastModifiedBy>Claudia Nazatto</cp:lastModifiedBy>
  <dcterms:created xsi:type="dcterms:W3CDTF">2023-12-06T21:13:24Z</dcterms:created>
  <dcterms:modified xsi:type="dcterms:W3CDTF">2025-12-16T10:31:46Z</dcterms:modified>
</cp:coreProperties>
</file>